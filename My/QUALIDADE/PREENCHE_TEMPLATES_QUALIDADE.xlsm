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W:\DIN\GD\INT\02_INTERNO\alexsandro.oliveira\2020\2020_Desktop\QUALIDADE\"/>
    </mc:Choice>
  </mc:AlternateContent>
  <bookViews>
    <workbookView xWindow="0" yWindow="0" windowWidth="10590" windowHeight="6030" firstSheet="2" activeTab="2"/>
  </bookViews>
  <sheets>
    <sheet name="INP_TYPE" sheetId="1" r:id="rId1"/>
    <sheet name="INSPECTOR" sheetId="4" r:id="rId2"/>
    <sheet name="Reserve" sheetId="6" r:id="rId3"/>
    <sheet name="CP1_1" sheetId="5" r:id="rId4"/>
  </sheets>
  <definedNames>
    <definedName name="_xlnm.Print_Area" localSheetId="3">CP1_1!$A$1:$BP$462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8" i="5" l="1"/>
  <c r="AU426" i="5"/>
  <c r="AM426" i="5"/>
  <c r="AN338" i="5"/>
  <c r="AF338" i="5"/>
  <c r="AE289" i="5"/>
  <c r="V289" i="5"/>
  <c r="O289" i="5"/>
  <c r="AE283" i="5"/>
  <c r="V283" i="5"/>
  <c r="O283" i="5"/>
  <c r="AM268" i="5"/>
  <c r="AG268" i="5"/>
  <c r="AA268" i="5"/>
  <c r="S268" i="5"/>
  <c r="M268" i="5"/>
  <c r="G268" i="5"/>
  <c r="AM262" i="5"/>
  <c r="AG262" i="5"/>
  <c r="AA262" i="5"/>
  <c r="S262" i="5"/>
  <c r="M262" i="5"/>
  <c r="G262" i="5"/>
  <c r="G234" i="5"/>
  <c r="G231" i="5"/>
  <c r="G228" i="5"/>
  <c r="AN131" i="5"/>
  <c r="AG131" i="5"/>
  <c r="AN85" i="5"/>
  <c r="AI85" i="5"/>
  <c r="AN80" i="5"/>
  <c r="AI80" i="5"/>
  <c r="AN75" i="5"/>
  <c r="AI75" i="5"/>
  <c r="AN70" i="5"/>
  <c r="AI70" i="5"/>
  <c r="T28" i="5"/>
</calcChain>
</file>

<file path=xl/sharedStrings.xml><?xml version="1.0" encoding="utf-8"?>
<sst xmlns="http://schemas.openxmlformats.org/spreadsheetml/2006/main" count="2181" uniqueCount="1388">
  <si>
    <t>INP_NAME</t>
  </si>
  <si>
    <t>SIGLA_TIPO</t>
  </si>
  <si>
    <t>$1STIFFENER$2</t>
  </si>
  <si>
    <t>$1S</t>
  </si>
  <si>
    <t>B11_16 - MOUNTING OF PLUGS ON BODY OF TLTS</t>
  </si>
  <si>
    <t>B11_16</t>
  </si>
  <si>
    <t>B11_20 - MOUNTING OF OPERATING JACKS OF EXHAUST VALVES</t>
  </si>
  <si>
    <t>B11_20</t>
  </si>
  <si>
    <t>B11_21 - MOUNTING OF CAPSTAN SHAFT IN THE MOVING PART</t>
  </si>
  <si>
    <t>B11_21</t>
  </si>
  <si>
    <t>B13-INSP OF THE MOVING PARTS FITTED WITH OVERMOULDING</t>
  </si>
  <si>
    <t>B13</t>
  </si>
  <si>
    <t>B11_14 - MOUNTING OF ND50 DRAINING VALVE ON TLT</t>
  </si>
  <si>
    <t>B11_14</t>
  </si>
  <si>
    <t>C03 - Inspection of welding joints of frame flange</t>
  </si>
  <si>
    <t>C03</t>
  </si>
  <si>
    <t>C05 - Inspection of welding joints of frame / planking</t>
  </si>
  <si>
    <t>C05</t>
  </si>
  <si>
    <t>C09 - Inspection on austenitic welded joints of TLT</t>
  </si>
  <si>
    <t>C09</t>
  </si>
  <si>
    <t>C27 - Inspection on BW welding joints not belonging to...</t>
  </si>
  <si>
    <t>C27</t>
  </si>
  <si>
    <t>CNC3-INSPECTIONS OF A PAINT SYSTEM ON BARE SHEET BARE METAL</t>
  </si>
  <si>
    <t>CNC3</t>
  </si>
  <si>
    <t>C30 - SMB-200017 TEMPORARY FASTENERS</t>
  </si>
  <si>
    <t>C30</t>
  </si>
  <si>
    <t>D31_2 - INSPECTIONS OF 64 mm OR 128 mm POINT DESIGN MARKING</t>
  </si>
  <si>
    <t>D31_2</t>
  </si>
  <si>
    <t>D31_3 - PROFILE OF BEVELS ON BUTT ENDS OF STRAKES AND...</t>
  </si>
  <si>
    <t>D31_3</t>
  </si>
  <si>
    <t>D18 - DRILLING AUTHORISATION FORM</t>
  </si>
  <si>
    <t>D18</t>
  </si>
  <si>
    <t>D31_5 - EDGES FLATNESS INSPECTION AND STRAIGHTNESS OF BEVELS</t>
  </si>
  <si>
    <t>D31_5</t>
  </si>
  <si>
    <t>D19 - INSPECTION OF THE AXIS POINT AND PRE-CUTTING MARKS</t>
  </si>
  <si>
    <t>D19</t>
  </si>
  <si>
    <t>D31_7-Inspection of the lower axis reference marking on the</t>
  </si>
  <si>
    <t>D31_7</t>
  </si>
  <si>
    <t>D42_4 - INSPECTION OF THE MACHINING DIAMETER IN THE HULL</t>
  </si>
  <si>
    <t>D42</t>
  </si>
  <si>
    <t>D42_9 - INSP. OF THE POSITIONING OF THE 4 HULL PENETRATIONS</t>
  </si>
  <si>
    <t>D44_12 - CHECK OF THE MARKING OF THE SQUARE LINES</t>
  </si>
  <si>
    <t>D44</t>
  </si>
  <si>
    <t>D44_2-MACHINABILITY CHECK OF TUBES 1,2,3,4,5,6 AFTER 1ST...</t>
  </si>
  <si>
    <t>D44_5 - POSITION OF THE MACHINE FOR RE-MACHINING THE PASSAGE</t>
  </si>
  <si>
    <t>D46_4 - INSP. OF THE AFT RUDDER GEAR AXIS ALIGNMENT 1ST...</t>
  </si>
  <si>
    <t>D46</t>
  </si>
  <si>
    <t>D46-ALIGNMENT OF THE REFERENCE AXIS FOR THE SHAFT LINE AND..</t>
  </si>
  <si>
    <t>D71-Manufacturing checks of sheathings</t>
  </si>
  <si>
    <t>D71</t>
  </si>
  <si>
    <t>D76 - PRESSED STEEL PLATES INSPECTIONS</t>
  </si>
  <si>
    <t>D76</t>
  </si>
  <si>
    <t>D51_6 - INSPECTION OF THE BEVEL MARKS</t>
  </si>
  <si>
    <t>D51</t>
  </si>
  <si>
    <t>D51_9 - INSPECTION OF THE MARKS ON THE PENETRATIONS...</t>
  </si>
  <si>
    <t>D52_30 - CHECK THE CLEARANCE BETWEEN THE CONES</t>
  </si>
  <si>
    <t>D52</t>
  </si>
  <si>
    <t>D52_8 - CHECK OF THE RAM EXTENSION LENGTH</t>
  </si>
  <si>
    <t>D78_3-CIRCULARITY OF THE ESCAPE TRUNK</t>
  </si>
  <si>
    <t>D78</t>
  </si>
  <si>
    <t>D78_4-LENGTH OF THE ESCAPE TRUNK (cylindrical part)</t>
  </si>
  <si>
    <t>D36K_1 - INSPECTION OF BUTTS MACHINING AFTER</t>
  </si>
  <si>
    <t>D36K</t>
  </si>
  <si>
    <t>D57_12-INSPECTION OF THE FLATNESS OF THE MACHINED FACES</t>
  </si>
  <si>
    <t>D57</t>
  </si>
  <si>
    <t>D58_7 - CHECK THE MACHINING OF THE CONNECTING IRONS</t>
  </si>
  <si>
    <t>D58</t>
  </si>
  <si>
    <t>D59_08-INSP OF THE STUD ROD BORE HOLES</t>
  </si>
  <si>
    <t>D59</t>
  </si>
  <si>
    <t>D62-A-04 - INSPECTION OF CLAR AND CL18 MACHINING</t>
  </si>
  <si>
    <t>D62</t>
  </si>
  <si>
    <t>D62-A-05 - INSPECTION OF BEVELS TRACING</t>
  </si>
  <si>
    <t>D62-C-03 - INSPECTION OF STERN GLAND COAMING MACHINING</t>
  </si>
  <si>
    <t>D62-C-05 - INSPECTION OF DRILLING OF THE STERN GLAND..</t>
  </si>
  <si>
    <t>D65B_4-FRESH AIR CUPOLA CIRCULAR FORM</t>
  </si>
  <si>
    <t>D65</t>
  </si>
  <si>
    <t>D37_6 - INSPECTION OF HULL PENETRATION POSITIONING AFTER...</t>
  </si>
  <si>
    <t>D37_6</t>
  </si>
  <si>
    <t>D66B_7 - TRANSVERSAL POSITION OF THE ACCESS TRUNK</t>
  </si>
  <si>
    <t>D66</t>
  </si>
  <si>
    <t>D66B_8 - VERTICALITY OF THE ACCESS TRUNK</t>
  </si>
  <si>
    <t>D67_1-FRAME WEB / PLATING SQARING AFTER SHEATHING INTEGRAT..</t>
  </si>
  <si>
    <t>D67</t>
  </si>
  <si>
    <t>D67_3-Frame height after sheathing integration</t>
  </si>
  <si>
    <t>D40_03 - SECOND TRACING INSPECTION</t>
  </si>
  <si>
    <t>D40_0</t>
  </si>
  <si>
    <t>D40_08 - INSPECTION OF THE SQUARENESS OF THE FRAMES</t>
  </si>
  <si>
    <t>D40_11 - INSPECTION OF THE MARKINGS ON THE DECK LINE AND...</t>
  </si>
  <si>
    <t>D40_1</t>
  </si>
  <si>
    <t>D41_9 - INSPECTION OF THE HULL PENETRATION POSITIONING</t>
  </si>
  <si>
    <t>D41</t>
  </si>
  <si>
    <t>D42_9 - INSP OF THE HULL PENETRATION POSITIONING BEFORE WELD</t>
  </si>
  <si>
    <t>D36C - JOINT CONDITION HOT INSPECTION</t>
  </si>
  <si>
    <t xml:space="preserve">D36C </t>
  </si>
  <si>
    <t>D34-Manufacturing checks of frames</t>
  </si>
  <si>
    <t>D34</t>
  </si>
  <si>
    <t>D36E - INSPECTION OF RESERVED FRAME SETTING BEFORE WELDING</t>
  </si>
  <si>
    <t xml:space="preserve">D36E </t>
  </si>
  <si>
    <t>D34_3-Flange width inspection</t>
  </si>
  <si>
    <t>D34_3</t>
  </si>
  <si>
    <t>D36G - POSITIONING RECORDS OF UPPER AXES ON A SUB-ASSEMBLY</t>
  </si>
  <si>
    <t xml:space="preserve">D36G </t>
  </si>
  <si>
    <t>D36I - MEASUREMENT BETWEEN THE BUTTS OF THE SECTIONS ...</t>
  </si>
  <si>
    <t xml:space="preserve">D36I </t>
  </si>
  <si>
    <t>D36C_2 - OFFSET OF THE JOINT AT HIGH TEMPERATURE</t>
  </si>
  <si>
    <t>D36C</t>
  </si>
  <si>
    <t>D35_1-Perimeter of frames after machining</t>
  </si>
  <si>
    <t>D35_1</t>
  </si>
  <si>
    <t>D35_3-INSPECTION OF FRAME HEIGHT AFTER MACHINING</t>
  </si>
  <si>
    <t>D35_3</t>
  </si>
  <si>
    <t>D35_4-FRAME CIRCULARITY INSPECTION</t>
  </si>
  <si>
    <t>D35_4</t>
  </si>
  <si>
    <t>D35_5-LIMBER HOLES INSPECTION</t>
  </si>
  <si>
    <t>D35_5</t>
  </si>
  <si>
    <t>D35_6-POSITIONING OF LONGITUDINAL JOINTS</t>
  </si>
  <si>
    <t>D35_6</t>
  </si>
  <si>
    <t>D34_7-Web / falnge squareness inspection</t>
  </si>
  <si>
    <t>D34_7</t>
  </si>
  <si>
    <t>D36A - JUNCTION PREPARATION INSPECTION</t>
  </si>
  <si>
    <t xml:space="preserve">D36A </t>
  </si>
  <si>
    <t>D34_10-Frame circularity inspection</t>
  </si>
  <si>
    <t>D34_1</t>
  </si>
  <si>
    <t>E02-INSPECTION OF THE ROUTING OF CABLE HARNESSES</t>
  </si>
  <si>
    <t>E02</t>
  </si>
  <si>
    <t>E01-INSP OF THE INST, CONNECT AND GROUND</t>
  </si>
  <si>
    <t>E01</t>
  </si>
  <si>
    <t>D87 - MOUNTING FWD FRAMEWORK ON FWD BALLAST TANK</t>
  </si>
  <si>
    <t>D87</t>
  </si>
  <si>
    <t>D89_1 - CIRCULARITY OF BALLAST TANK 1 BUTT ENDS</t>
  </si>
  <si>
    <t>D89</t>
  </si>
  <si>
    <t>D91_1 - INSPECTION OF AXES’REFERENCE LINES SYSTEM</t>
  </si>
  <si>
    <t>D91</t>
  </si>
  <si>
    <t>D94_05 - INSPECTION OF THE MACHINING FOR THE PENETRATION</t>
  </si>
  <si>
    <t>D94</t>
  </si>
  <si>
    <t>D95_05 - CHECK THAT THERE ARE NO HARD POINTS WHEN SLIDING...</t>
  </si>
  <si>
    <t>D95</t>
  </si>
  <si>
    <t>D80_9 - INSPECTION OF THE DEFLECTION</t>
  </si>
  <si>
    <t>D80</t>
  </si>
  <si>
    <t>D95_26 - CHECK THE POSITION OF THE RADAR ANTENNA MAST</t>
  </si>
  <si>
    <t>D95_31 - CHECK THE TENSION IN THE CABLES OF THE...</t>
  </si>
  <si>
    <t>D81_19 - INSPECTION OF THE POSITION OF THE MARKINGS</t>
  </si>
  <si>
    <t>D81</t>
  </si>
  <si>
    <t>D81_40 - CHECK THE FACE PORT SIDE / STARBOARD FACE</t>
  </si>
  <si>
    <t>D81_42 - CHECK THE POSITION OF THE BORE HOLES FORWARD / AFT</t>
  </si>
  <si>
    <t>D81_44 - CHECK THE DIMENSIONS 50+3 ; +0</t>
  </si>
  <si>
    <t>D81_45 - CHECK THE TAPPINGS</t>
  </si>
  <si>
    <t>D81_46 - CHECK RA IN THE FUNDS OF THE SPOT FACINGS</t>
  </si>
  <si>
    <t>D81_48 - CHECK THE MACHINING OF THE BEVEL 26*26</t>
  </si>
  <si>
    <t>D81_49 - CHECK THE MACHINING OF THE BEVEL PORT SIDE / STA...</t>
  </si>
  <si>
    <t>D82_4 - INSPECTION OF THE SPOKE OF THE QUARTERS</t>
  </si>
  <si>
    <t>D82</t>
  </si>
  <si>
    <t>D82_47 - CHECK OF THE POSITION OF THE FRAMES</t>
  </si>
  <si>
    <t>D96_52-INSP AND CERTIFICATION OF THE LEAK TESTS...</t>
  </si>
  <si>
    <t>D96</t>
  </si>
  <si>
    <t>D82_9 - INSP THE MARKING OF THE BUTTS OF THE HALF COAMINGS</t>
  </si>
  <si>
    <t>D96_56-CHECK THE GUDGEON CONE PENETRATION</t>
  </si>
  <si>
    <t>E08-INSPECTION OF THE MEASURING CHAINS SENSORS</t>
  </si>
  <si>
    <t>E08</t>
  </si>
  <si>
    <t>E21-INSPECTION OF THE OPTICAL FIBRE CABLES</t>
  </si>
  <si>
    <t>E21</t>
  </si>
  <si>
    <t>G03 - POSITION INSPECTION REPORT FOR PASSAGES</t>
  </si>
  <si>
    <t>G03</t>
  </si>
  <si>
    <t>I04-BULKHEAD INSULATION INSPECTION</t>
  </si>
  <si>
    <t>I04</t>
  </si>
  <si>
    <t>I01 - INSPECTION OF EQUIPMENT FIRE PROTECTION</t>
  </si>
  <si>
    <t>I01</t>
  </si>
  <si>
    <t>M10-INSPECTION BRAZING PIPE</t>
  </si>
  <si>
    <t>M10</t>
  </si>
  <si>
    <t>M07-Flushing inspections</t>
  </si>
  <si>
    <t>M07</t>
  </si>
  <si>
    <t>N02-INSPECTION WELDING PIPE</t>
  </si>
  <si>
    <t>N02</t>
  </si>
  <si>
    <t>PC08 - TG INSPECTION BY DSC</t>
  </si>
  <si>
    <t>PC0</t>
  </si>
  <si>
    <t>P01-Steel preparation work</t>
  </si>
  <si>
    <t>P01</t>
  </si>
  <si>
    <t>SMB-200017 DURING FILET WELD</t>
  </si>
  <si>
    <t>SMB</t>
  </si>
  <si>
    <t>S06 - RESISTANCE TEST OF PRESSURE RESISTANT STRUCTURES</t>
  </si>
  <si>
    <t>S06</t>
  </si>
  <si>
    <t>SMB-200017 NDT DYE PENETRANT INSPECTION</t>
  </si>
  <si>
    <t>SMB-200017 NDT MAGNETIC PARTICLE INSPECTION FOR SEAL LIMB..</t>
  </si>
  <si>
    <t>T01 - Plates parts traceability check</t>
  </si>
  <si>
    <t>T01</t>
  </si>
  <si>
    <t>ST01-STW REPORT</t>
  </si>
  <si>
    <t>ST0</t>
  </si>
  <si>
    <t>SMB-200017 NDT VISUAL INSPECTION FOR SEAL LIMBER HOLE</t>
  </si>
  <si>
    <t>D82_48 - CHECK OF THE MARKING</t>
  </si>
  <si>
    <t>D82_59 - INSPECTION THE HEIGHT OF THE EDGE</t>
  </si>
  <si>
    <t>D81_33 - CHECK THE POSITION OF TEMPLATE CAL2</t>
  </si>
  <si>
    <t>D36E - FRAME SPACE LENGTH INSPECTION WITH RESERVED FRAME</t>
  </si>
  <si>
    <t>D95_15 - CHECK THAT THE SNORTING MAST CABLES ARE...</t>
  </si>
  <si>
    <t>A02 - SEATING SHOCK RESPONSE INSPECTION</t>
  </si>
  <si>
    <t>A02</t>
  </si>
  <si>
    <t>B05-HULL PASSAGE OUTFITTING</t>
  </si>
  <si>
    <t>B05</t>
  </si>
  <si>
    <t>B11_02 - MOUNTING OF THE OPERATING RAM OF THE FRESH AIR...</t>
  </si>
  <si>
    <t>B11_02</t>
  </si>
  <si>
    <t>C07 - Inspection of welding joints of insert plate</t>
  </si>
  <si>
    <t>C07</t>
  </si>
  <si>
    <t>C16 - Inspection of FW joints 1/1 strength hull appendage</t>
  </si>
  <si>
    <t>C16</t>
  </si>
  <si>
    <t>C22-Welding joints FW Class 1/2 - 2/2</t>
  </si>
  <si>
    <t>C22</t>
  </si>
  <si>
    <t>C18M - Inspection on FW welding joints belonging to Classes.</t>
  </si>
  <si>
    <t>C18</t>
  </si>
  <si>
    <t>CC7-INSP. OVER A SYSTEM AFTER A PROCESS INTERRUPTION</t>
  </si>
  <si>
    <t>CC7</t>
  </si>
  <si>
    <t>CP1-2 - QUALITY INSPECTION OF THE PAINT APPLICATION</t>
  </si>
  <si>
    <t>CP1-2</t>
  </si>
  <si>
    <t>D03A-WEB / HULL PLATING SQUARING AFTER WELDING</t>
  </si>
  <si>
    <t>D03A-</t>
  </si>
  <si>
    <t>D11-PERIMETER OF SUBSECTION BUTT</t>
  </si>
  <si>
    <t>D11</t>
  </si>
  <si>
    <t>D12-Sub-section length inspection</t>
  </si>
  <si>
    <t>D12</t>
  </si>
  <si>
    <t>D31_7 - POSITION OF TOP AXIS MARKING LINE ON FIRST STRAKE</t>
  </si>
  <si>
    <t>D20_4 - INSPECTION OF THE MACHINING OF THE BEVELS</t>
  </si>
  <si>
    <t>D20_4</t>
  </si>
  <si>
    <t>D68_5-Positionning inspection of built-in passages</t>
  </si>
  <si>
    <t>D68</t>
  </si>
  <si>
    <t>D71_1-Dimentional inspection of sheathings</t>
  </si>
  <si>
    <t>D44_8 - MARKING OF THE OXYGEN CUTTING AND MACHINING DIAMETER</t>
  </si>
  <si>
    <t>D46_1 - INSPECTION OF THE SHAFT LINE ALIGNMENT</t>
  </si>
  <si>
    <t>D46_2-INSP. OF THE AFT HYDROPLANE AXIS ALIGNMENT 1ST...</t>
  </si>
  <si>
    <t>D46_6 - AFT RUDDER GEAR AND HYDROPLANE RUDDER PORT AXIS...</t>
  </si>
  <si>
    <t>D73_1-FRAME WEB/PLATING SQUARING AFTER FITTING OF BUILT-IN..</t>
  </si>
  <si>
    <t>D73</t>
  </si>
  <si>
    <t>D47_3-INSP. OF THE STRUCTURE OPENINGS FOR THE RUDDER HOLES</t>
  </si>
  <si>
    <t>D47</t>
  </si>
  <si>
    <t>D47_6 - INSPECTION OF THE POSITIONING OF THE REAMING BAR</t>
  </si>
  <si>
    <t>D47_7 - INSP. OF THE ONBOARD MACHINING OF SLEEVE AC34027</t>
  </si>
  <si>
    <t>D51_11 - INSPECTION OF THE POSITION OF THE REAMING BAR</t>
  </si>
  <si>
    <t>D51_4 - ADJUSTMENT INSPECTION OF THE REAMING BAR</t>
  </si>
  <si>
    <t>D52_2 - CHECK OF THE ALIGNMENT OF THE DUMMY RAM</t>
  </si>
  <si>
    <t>D52_22 - MEASUREMENT OF THE PENETRATION AN CALCULATION...</t>
  </si>
  <si>
    <t>D52_9 - SECURE CONNECTION TIGHTENING CHECK</t>
  </si>
  <si>
    <t>D77_1 - LENGTH OF THE SEWAGE TANK (CYLINDRICAL PART)</t>
  </si>
  <si>
    <t>D77</t>
  </si>
  <si>
    <t>D77_4 - SHAPE OF THE SEWAGE TANK BULKHEADS</t>
  </si>
  <si>
    <t>D57_09-INSPECTION OF THE THICKNESS OF FACES</t>
  </si>
  <si>
    <t>D57_11-ISNPECTION OF THE SLOPES OF THE FACES</t>
  </si>
  <si>
    <t>D57_18-INSPECTION OF THE 2nd POSITIONING OF THE REAMING BAR</t>
  </si>
  <si>
    <t>D58_4 - MEASURE THE THICKNESSES IN THE ROUND PARTS</t>
  </si>
  <si>
    <t>D36K_2 - INSPECTION OF THE END FRAME CLEARANCES</t>
  </si>
  <si>
    <t>D42_7-MARKS ON THE HULL PENETRATION PRIOR TO ONBOARD LOADING</t>
  </si>
  <si>
    <t>D59_03-INSP OF THE CLEARANCE BETWEEN THE FACES...</t>
  </si>
  <si>
    <t>D62-B-04 - INSPECTION OF AFT BRACKET MACHINING</t>
  </si>
  <si>
    <t>D66A - MANUFACTURING INSPECTIONS OF THE ACCESS TRUNK</t>
  </si>
  <si>
    <t>D67_2-FRAME WEB / SHEATING SQUARING AFTER SHEATHING INTEG..</t>
  </si>
  <si>
    <t>D39_4 – LONGITUDINAL AND HORIZONTAL ALIGNMENT</t>
  </si>
  <si>
    <t>D39_4</t>
  </si>
  <si>
    <t>D39_5 – VERTICALITY OF THE FORWARD BULKHEAD</t>
  </si>
  <si>
    <t>D39_5</t>
  </si>
  <si>
    <t>D41_4 - INSPECTION OF THE MACHINE POSITION</t>
  </si>
  <si>
    <t>D41_4</t>
  </si>
  <si>
    <t>D42_9 - INSP OF THE HULL PENETRATION POSITIONING</t>
  </si>
  <si>
    <t>D36B_2 - JOINING FRAME SPACE LENGTH AT COLD</t>
  </si>
  <si>
    <t>D36B</t>
  </si>
  <si>
    <t>D34A - MANUFACTURING CHECKS OF FRAMES</t>
  </si>
  <si>
    <t xml:space="preserve">D34A </t>
  </si>
  <si>
    <t>D36C_1 - JOINT HOT CLEARANCE</t>
  </si>
  <si>
    <t>D36E_1 - FRAME SPACE LENGTH INSPECTION WITH RESERVED FRAME</t>
  </si>
  <si>
    <t>D36E</t>
  </si>
  <si>
    <t>D36F - VERTICALITY OF SUB-SECTIONS ENDS OR JUNCTION ENDS</t>
  </si>
  <si>
    <t xml:space="preserve">D36F </t>
  </si>
  <si>
    <t>D35_13-LENGTH OF FWD AND AFT BUTT FRAME SPACES AFTER MACHINI</t>
  </si>
  <si>
    <t>D35_8-Sub-section perimeter inspection</t>
  </si>
  <si>
    <t>D35_8</t>
  </si>
  <si>
    <t>D35_9-LENGTH OF FWD AND AFT BUTT FRAME SPACE BEFORE MACHININ</t>
  </si>
  <si>
    <t>D35_9</t>
  </si>
  <si>
    <t>D35B-MANUFACTURING CHECKS OF SUBSECTIONS - AFTER FRAMES M…</t>
  </si>
  <si>
    <t>D35B-</t>
  </si>
  <si>
    <t>D36A_1 - LONGITUDINAL AND HORIZONTALITY INSPECTION</t>
  </si>
  <si>
    <t>D36A</t>
  </si>
  <si>
    <t>D36B - JOINT CONDITION COLD INSPECTION</t>
  </si>
  <si>
    <t xml:space="preserve">D36B </t>
  </si>
  <si>
    <t>D85_1 - MOUNTING CONTROL BY SELF-INSPECTIONS</t>
  </si>
  <si>
    <t>D85</t>
  </si>
  <si>
    <t>D93-02 Insp.of the pass. of the TLT with cyl. ref. test bar</t>
  </si>
  <si>
    <t>D93</t>
  </si>
  <si>
    <t>D93-04 Control adjustment of the centering cover and base</t>
  </si>
  <si>
    <t>D94_03 - INSPECTION OF CLEAT POSITION</t>
  </si>
  <si>
    <t>D94_13 - INSPECTION OF PLATFORM THICKNESS AFTER MACHINING</t>
  </si>
  <si>
    <t>D94_14 - INSPECTION OF PLATFORM FLATNESS AFTER ON-BOARD</t>
  </si>
  <si>
    <t>D94_25 - INSPECTION OF THE MACHINING OF THE BEVELS</t>
  </si>
  <si>
    <t>D95_01 - CHECK THE VERTICALITY OF THE GUIDE RAILS</t>
  </si>
  <si>
    <t>D95_03 - CHECK THAT THE BOLTING MATERIAL IS LOCKED AND TIGHT</t>
  </si>
  <si>
    <t>D80_11 - INSP. OF THE MARKING OF THE OXYCUTTING DIAMETERS</t>
  </si>
  <si>
    <t>D80_3 - INSPECTION OF THE MARKING OF THE FINAL DIAMETERS</t>
  </si>
  <si>
    <t>D95_27 - CHECK THE ASSEMBLY OF THE RADAR ANTENNA MAST PAD</t>
  </si>
  <si>
    <t>D81_25-DIMENSIONAL INSP OF THE BUTT STRAP SUPPORT FLAT BARS</t>
  </si>
  <si>
    <t>D81_37 - CHECK THE Ø THE BORES</t>
  </si>
  <si>
    <t>D81_37 - CHECK THE THICKNESS AND THE RA FURTHER TO FINAL...</t>
  </si>
  <si>
    <t>D81_40 - CHECK THE THICKNESS AND THE RA FURTHER TO FINAL ...</t>
  </si>
  <si>
    <t>D81_44-CHECK THE HOLE AXES WITH RESPECT TO THE REFERENCE...</t>
  </si>
  <si>
    <t>D81_5 - INSPECTION OF THE FORM OF THE QUARTERS</t>
  </si>
  <si>
    <t>D81_50 - CHECK THE MACHINING OF THE BEVEL FORWARD / AFT F...</t>
  </si>
  <si>
    <t>D82_13 - THICKNESS INSPECTION PRIOR TO MACHINING</t>
  </si>
  <si>
    <t>D82_21 - DIMENSIONAL CHECK OF FRAME WEBS</t>
  </si>
  <si>
    <t>D96_15-CHECK OF THE PENETRATION IN THE CONE OF THE SOLID...</t>
  </si>
  <si>
    <t>D96_46-INSP OF THE POSITIONING OF THE ANGLE LIMITER...</t>
  </si>
  <si>
    <t>D96_70-INSP OF THE TIGHTENING OF THE COUPLING TO THE PRESS</t>
  </si>
  <si>
    <t>D96_75-MEASURE THE DIMENSION BETWEEN THE ROTATING...</t>
  </si>
  <si>
    <t>F05-SUNDRY INSPECTIONS</t>
  </si>
  <si>
    <t>F05</t>
  </si>
  <si>
    <t>F06-Inspection of the coating Belzona 1341</t>
  </si>
  <si>
    <t>F06</t>
  </si>
  <si>
    <t>G02-ASSEMBLY INSPECTION REPORT FOR FABRICATED STRUCTURES</t>
  </si>
  <si>
    <t>G02</t>
  </si>
  <si>
    <t>QA01-Report of end of work</t>
  </si>
  <si>
    <t>QA0</t>
  </si>
  <si>
    <t>Plates parts traceability check</t>
  </si>
  <si>
    <t>Pla</t>
  </si>
  <si>
    <t>S11- EQUIPMENTS LEAK TEST PRESSURE</t>
  </si>
  <si>
    <t>S11</t>
  </si>
  <si>
    <t>S05 - TIGHTNESS TEST OF NON PRESSURE RESISTANT STRUCTURES</t>
  </si>
  <si>
    <t>S05</t>
  </si>
  <si>
    <t>SMB-200017 MEULAGE</t>
  </si>
  <si>
    <t>SMB-200017 NDT VISUAL INSPECTION</t>
  </si>
  <si>
    <t>SMB-200017 NDT MAGNETIC PARTICLE INSPECTION FOR SEATINGS</t>
  </si>
  <si>
    <t>SMB-200017 PREHEATING FOR SEATINGS</t>
  </si>
  <si>
    <t>X01-SOFTWARE CONFIGURATION</t>
  </si>
  <si>
    <t>X01</t>
  </si>
  <si>
    <t>TH01_3-Magnetic particle inspection</t>
  </si>
  <si>
    <t>TH0</t>
  </si>
  <si>
    <t>D52_4 - SLIDE POSITIONING INSPECTION</t>
  </si>
  <si>
    <t>D63_6 - INSPECTION OF THE MARKINGS ON THE RUDDER HOLES</t>
  </si>
  <si>
    <t>D63</t>
  </si>
  <si>
    <t>D65B_5-LONGITUDINAL POSITION OF FRESH AIR CUPOLA</t>
  </si>
  <si>
    <t>D88_2 - TRANSVERSE AND LONGITUDINAL POSITION OF AFT FR..</t>
  </si>
  <si>
    <t>D88</t>
  </si>
  <si>
    <t>D57_19-INSPECTION OF THE 2nd MACHINING OF THE ROUND PARTS</t>
  </si>
  <si>
    <t>B02-LEAK TEST OF OBTURATORS</t>
  </si>
  <si>
    <t>B02</t>
  </si>
  <si>
    <t>B07-PRESSURE HULL INTEGRITY EQUIPMENT-TRACABILITY CHECK</t>
  </si>
  <si>
    <t>B07</t>
  </si>
  <si>
    <t>B11_19 - MOUNTING OF MOVING PART WITH PLAIN GASKET</t>
  </si>
  <si>
    <t>B11_19</t>
  </si>
  <si>
    <t>B25-INSP OF CABLES WITH BESCOND TYPE OVERMOULDING</t>
  </si>
  <si>
    <t>B25</t>
  </si>
  <si>
    <t>B11_25 - MOUNTING OF LOWER RESCUE HATCH</t>
  </si>
  <si>
    <t>B11_25</t>
  </si>
  <si>
    <t>C10 - Inspection of welding joints hull passage area</t>
  </si>
  <si>
    <t>C10</t>
  </si>
  <si>
    <t>C23-Welding joints FW Class 1/3 - 1/4</t>
  </si>
  <si>
    <t>C23</t>
  </si>
  <si>
    <t>C24M - WELDING JOINTS BW-FW CLASS 2/3-2/4-3/3-4/4 FOR...</t>
  </si>
  <si>
    <t>C24</t>
  </si>
  <si>
    <t>CNC4-INSPECTIONS OF A SYSTEM OVER CORK FIBREGLASS INSULATION</t>
  </si>
  <si>
    <t>CNC4-</t>
  </si>
  <si>
    <t>CP1-1 - QUALITY INSPECTION OF THE SURFACE PREPARATION WORK</t>
  </si>
  <si>
    <t>CP1-1</t>
  </si>
  <si>
    <t>D33_1-Flange width inspection</t>
  </si>
  <si>
    <t>D33_1</t>
  </si>
  <si>
    <t>D31_2-64 or 128 mm point design marking</t>
  </si>
  <si>
    <t>D03C - WEB/PLANKING SQUARENESS INSPECTION</t>
  </si>
  <si>
    <t xml:space="preserve">D03C </t>
  </si>
  <si>
    <t>D32-WEB WIDTH INSPECTION</t>
  </si>
  <si>
    <t>D32</t>
  </si>
  <si>
    <t>D69 - BUTT VERTICALITY ON SECTION OR SUB-SECTION</t>
  </si>
  <si>
    <t>D69</t>
  </si>
  <si>
    <t>D70 - HULL CIRCULARITY INSPECTION</t>
  </si>
  <si>
    <t>D70</t>
  </si>
  <si>
    <t>D45_1 - INSPECTION OF AXES MARKED BY THE OPTICAL DEPARTMENT</t>
  </si>
  <si>
    <t>D45</t>
  </si>
  <si>
    <t>D75 - LENGTH OF SECTION</t>
  </si>
  <si>
    <t>D75</t>
  </si>
  <si>
    <t>D47_10 - INSPECTION OF THE MACHINING OF THE RUDDER HOLES</t>
  </si>
  <si>
    <t>D47_1-INSP. OF THE TUBULAR TRACING DEVICE WITH RESPECT TO…</t>
  </si>
  <si>
    <t>D47_8 - INSPECTION OF THE SQUARE LINES ON THE RUDDER HOLES</t>
  </si>
  <si>
    <t>D47_9 - INSPECTION OF THE POSITIONING OF THE REAMING BAR</t>
  </si>
  <si>
    <t>D47-INTEGRATION AND MACHINING OF THE RUDDER HOLES...</t>
  </si>
  <si>
    <t>D51_2 - INSPECTION OF THE MARKING OF THE OXYGEN...</t>
  </si>
  <si>
    <t>D51_5 - INSPECTION OF THE MACHINING DIAMETER</t>
  </si>
  <si>
    <t>D52_23 - INSPECTION OF THE BEARING SURFACE (QC INSPECTION)</t>
  </si>
  <si>
    <t>D52_25 - MEASURE THE CLEARANCES BETWEEN THE FACES...</t>
  </si>
  <si>
    <t>D52_29 - MEASURE THE DIMENSIONS OF THE ASSEMBLY MOUNTED...</t>
  </si>
  <si>
    <t>D55_1 - INSPECTION OF THE COAMING</t>
  </si>
  <si>
    <t>D55</t>
  </si>
  <si>
    <t>D77_2 - CIRCULARITY OF THE SEWAGE TANK</t>
  </si>
  <si>
    <t>D77_3 - INSPECTION OF DEFLECTION OF THE SEWAGE TANK..</t>
  </si>
  <si>
    <t>D78_5 - SHAPE OF ESCAPE TRUNK BULKHEADS</t>
  </si>
  <si>
    <t>D55_4 - PERFORMANCE CHECK</t>
  </si>
  <si>
    <t>D57_10-INSPECTION OF THE DIMENSIONS OF THE FEMALE SOFT</t>
  </si>
  <si>
    <t>D36I_1 - MEASUREMENT BETWEEN THE BUTTS (BEVEL EDGE)</t>
  </si>
  <si>
    <t>D36I</t>
  </si>
  <si>
    <t>D59_09-RECORD THE SEAL VULCANISATION DATE AND USE-BY-DATE</t>
  </si>
  <si>
    <t>D59_11-INSP OF THE TIGHTNESS OF THE BUTT STRAP</t>
  </si>
  <si>
    <t>D62-A-07 - INSPECTION OF STERN GLAND COAMING TRACING..</t>
  </si>
  <si>
    <t>D62-D-02 - INSPECTION OF REAMING BAR POSITIONING</t>
  </si>
  <si>
    <t>D37_3-CENTERING OF THE REAMING BAR FOR MACHINING OF THE HULL</t>
  </si>
  <si>
    <t>D37_3</t>
  </si>
  <si>
    <t>D63_2 - INSPECTION OF THE MARKING OF THE POSITION OF THE...</t>
  </si>
  <si>
    <t>D64_11 - FINAL PERIMETER INSPECTION</t>
  </si>
  <si>
    <t>D64</t>
  </si>
  <si>
    <t>D64_3-Bulkhead perimeter after machining</t>
  </si>
  <si>
    <t>D64_4-Reference axes</t>
  </si>
  <si>
    <t>D65A_3-INSPECTION OF DEFLECTION BEFORE DRILLING OF BULKHEADS</t>
  </si>
  <si>
    <t>D67_1-Web/Planking squaring after sheathing integration</t>
  </si>
  <si>
    <t>D67_3-FRAME HEIGHT AFTER SHEATHING INTEGRATION</t>
  </si>
  <si>
    <t>D39 - INSPECTIONS FOR ADJUSTMENT OF THE FORWARD BULKHEAD</t>
  </si>
  <si>
    <t>D39 -</t>
  </si>
  <si>
    <t>D40_06 - INSPECTION OF THE LONGITUDINAL POSITION ...</t>
  </si>
  <si>
    <t>D40_07 - INSPECTION OF THE LONGITUDINAL POSITION AND INDEN..</t>
  </si>
  <si>
    <t>D41_1 - INSPECTION OF THE MARKS</t>
  </si>
  <si>
    <t>D68_1-Inspection of the axes tracing on the passages</t>
  </si>
  <si>
    <t>D41_6 - INSPECTION OF THE BEVEL MARKS</t>
  </si>
  <si>
    <t>D41_6</t>
  </si>
  <si>
    <t>D68_2-Diameter inspection of the bores</t>
  </si>
  <si>
    <t>D34_1-Web / Flange symetry inspection</t>
  </si>
  <si>
    <t>D35_12-64 mm POINTS OF BUTTS AFTER MACHINING</t>
  </si>
  <si>
    <t>D33-Manufacturing checks of flanges frames</t>
  </si>
  <si>
    <t>D33-M</t>
  </si>
  <si>
    <t>D35_14-Height of the frame after Web/planking wleding</t>
  </si>
  <si>
    <t>D35_2-Inspection of frame height after machining</t>
  </si>
  <si>
    <t>D35_2</t>
  </si>
  <si>
    <t>D35_5-Longitudinal joints positioning inspection</t>
  </si>
  <si>
    <t>D35_6-Horizontality of the butt frame webs</t>
  </si>
  <si>
    <t>E02-INSPECTION OF THE CABLE ROUTING</t>
  </si>
  <si>
    <t>D87_4 - AFTER WELDING, SHAPE CONTINUITY INSPECTION OF THE..</t>
  </si>
  <si>
    <t>D87_5 - TRANSVERSE AND VERTICAL POSITION BEFORE WELDING..</t>
  </si>
  <si>
    <t>D88 - MANUFACTURING / MOUNTING AFT FRAMEWORK AND BALLAST...</t>
  </si>
  <si>
    <t>D88_1 - TRANSVERSE AND LONGITUDINAL POSITION OF AFT FRAMEW..</t>
  </si>
  <si>
    <t>D93-07 Control adjustment of sheath guide</t>
  </si>
  <si>
    <t>D94_17 - CHECK THR HATCH TRACEABILITY</t>
  </si>
  <si>
    <t>D94_22 - INSPECTION OF THE DIAMETER WITH THE REAMING BAR</t>
  </si>
  <si>
    <t>D80_10 - INSPECTION OF THE SHAPE</t>
  </si>
  <si>
    <t>D95_04 - MACHINING INSPECTION</t>
  </si>
  <si>
    <t>D95_09 - CHECK THE MAST STROKE</t>
  </si>
  <si>
    <t>D95_11 - CHECK CORRECT HOISTING/LOWERING OF THE MAST...</t>
  </si>
  <si>
    <t>D95_23 - RECORD DEPTH A OF THE 2 MOBILE PADS OF THE RADAR...</t>
  </si>
  <si>
    <t>D95_34 - CHECK THE POSITION AND ORIENTATION OF THE ATTACK...</t>
  </si>
  <si>
    <t>D81_16-PERPENDICULARITY INSPECT. OF FACES PRIOR TO MACHINING</t>
  </si>
  <si>
    <t>D81_17 - MEASURE THE SLOPE OF THE FACES</t>
  </si>
  <si>
    <t>D81_39 - CHECK THE TAPPINGS</t>
  </si>
  <si>
    <t>D81_41 - CHECK THE MACHINING OF THE EDGE</t>
  </si>
  <si>
    <t>D96_06-CHECK THE CLEARANCE BETWEEN THE CONES</t>
  </si>
  <si>
    <t>D81_49 - CHECK THE SPOT FACINGS</t>
  </si>
  <si>
    <t>D81_9 - MARKING OF THE BUTTS OF THE HALF COAMINGS</t>
  </si>
  <si>
    <t>D82_23 - FRAME WEB FLATNESS CHECK</t>
  </si>
  <si>
    <t>D96_11-CHECK THE PENETRATION OF THE STOCK</t>
  </si>
  <si>
    <t>D82_36 - CHECK OF THE MARKING OF THE HULL PASSAGE POSITION</t>
  </si>
  <si>
    <t>D82_56 - INSPECTION OF THE MACHINING...</t>
  </si>
  <si>
    <t>D96_47-INSP AND CERTIFICATION OF THE CIRCUIT STRENGHT AND...</t>
  </si>
  <si>
    <t>D96_59-INSP AND CERTIFICATION OF THE RUDDER HOLE LEAK TESTS</t>
  </si>
  <si>
    <t>D85 - MECHANICAL MOUNTING INSPECTION</t>
  </si>
  <si>
    <t>D96_68-INSP OF THE ALIGNMENT OF THE TRANSMISSION</t>
  </si>
  <si>
    <t>D96_71-INSP OF THE ORIENTATION OF THE ROTATING STOP</t>
  </si>
  <si>
    <t>D96_73-CHECK THE ANGULAR CLEARANCE OF THE HYDROPLANE...</t>
  </si>
  <si>
    <t>E04-INSPECTION OF THE GROUNDING OF THE PIPE LINE</t>
  </si>
  <si>
    <t>E04</t>
  </si>
  <si>
    <t>E14-INSPECTION OF THE GROUNDING OF THE DECOUPLED CRADLES</t>
  </si>
  <si>
    <t>E14</t>
  </si>
  <si>
    <t>E24-INSPECTION OF THE ETHERNET NETWORK CABLES</t>
  </si>
  <si>
    <t>E24</t>
  </si>
  <si>
    <t>E12-INSPECTION OF THE CABLE SPLICING</t>
  </si>
  <si>
    <t>E12</t>
  </si>
  <si>
    <t>G02-DIMENSIONAL INSPECTION REPORT FOR STRUCTURES ASSEMBLY</t>
  </si>
  <si>
    <t>G05 - SHAPE INSPECTION REPORT FOR FABRICATED STRUCTURES</t>
  </si>
  <si>
    <t>G05</t>
  </si>
  <si>
    <t>I07 - ANTI-CONDENSATION FOR PIPES</t>
  </si>
  <si>
    <t>I07</t>
  </si>
  <si>
    <t>G06 - DIMENSIONAL CONTROL IN WORKSHOP</t>
  </si>
  <si>
    <t>G06</t>
  </si>
  <si>
    <t>M01 - PIPE MANUFACTURING INSPECTION (CAT A)</t>
  </si>
  <si>
    <t>M01</t>
  </si>
  <si>
    <t>L01-Weighing</t>
  </si>
  <si>
    <t>L01</t>
  </si>
  <si>
    <t>M04-Hydraulic circuit rinsing</t>
  </si>
  <si>
    <t>M04</t>
  </si>
  <si>
    <t>M09 - EQUIPMENT FITTING</t>
  </si>
  <si>
    <t>M09</t>
  </si>
  <si>
    <t>MS02_1-INSP OF THE TIGHTENING TORQUE OF THE RETAINING SCREWS</t>
  </si>
  <si>
    <t>MS02_1</t>
  </si>
  <si>
    <t>MS02_1-CHECK OF THE TIGHTENING TORQUE OF THE RETAINING...</t>
  </si>
  <si>
    <t>MT02-MAINTENANCE ON BORD</t>
  </si>
  <si>
    <t>MT0</t>
  </si>
  <si>
    <t>S01-RESISTANCE TEST</t>
  </si>
  <si>
    <t>S01</t>
  </si>
  <si>
    <t>PC10-DENSITY INSPECTION FOR RESINS AND COMPOSITES MATERIALS</t>
  </si>
  <si>
    <t>PC1</t>
  </si>
  <si>
    <t>PC01 - INTERMEDIATE THICKNESS INSPECTION</t>
  </si>
  <si>
    <t>SMB-200017 DURING BUTT WELD</t>
  </si>
  <si>
    <t>SMB-200017 BEFORE WELDING FOR SEATINGS</t>
  </si>
  <si>
    <t>S07 - TIGHTNESS TEST OF PRESSURE RESISTANT STRUCTURES</t>
  </si>
  <si>
    <t>S07</t>
  </si>
  <si>
    <t>SMB-200017 HEAT INPUT INSPECTION (MANUAL)</t>
  </si>
  <si>
    <t>SMB-200017 DURING FILET WELD FOR SEAL LIMBER HOLE</t>
  </si>
  <si>
    <t>SMB-200017 WELDING PARAMETERS</t>
  </si>
  <si>
    <t>SMB-200017 NDT VISUAL INSPECTION FOR SEATINGS</t>
  </si>
  <si>
    <t>X02-HP CYLINDRES AND ACCUMULATORS - TRACEABILITY CHECK</t>
  </si>
  <si>
    <t>X02</t>
  </si>
  <si>
    <t>TH01_2-Thickness inspection</t>
  </si>
  <si>
    <t>D82_17 - DIMENSIONAL CHECK OF FRAME FLANGES</t>
  </si>
  <si>
    <t>D82_39-FORM OF THE FOUR COMPONENTS OF THE BUTT JOINT...</t>
  </si>
  <si>
    <t>D82_10-MOUNTING OF THE TWO HALF COAMINGS PRIOR TO WELDING</t>
  </si>
  <si>
    <t>D82_14 - FACE PERPENDICULARITY CHECK</t>
  </si>
  <si>
    <t>D62-A-03 - INSPECTION OF Ø TRACING ON CLAR AND CL18</t>
  </si>
  <si>
    <t>D40_04 - INSPECTION OF THE BEVEL TRACING</t>
  </si>
  <si>
    <t>D40_10 - INSPECTION OF THE POSITION OF THE FOUR QUARTERS....</t>
  </si>
  <si>
    <t>D95_24 - CHECK THE POSITION OF THE RADAR ANTENNA MAST...</t>
  </si>
  <si>
    <t>D95_36 - CHECK THE ORIENTATION, POSITION AND CENTRING...</t>
  </si>
  <si>
    <t>B11_24 - MOUNTING OF EXTERNAL DOOR OF TLTS</t>
  </si>
  <si>
    <t>B11_24</t>
  </si>
  <si>
    <t>B11_27-REASSEMBLY REAR PLUG MOVING PART NVR DV BALLASTS TANK</t>
  </si>
  <si>
    <t>B11_27</t>
  </si>
  <si>
    <t>B11_09 - MOUNTING OF THE GARBAGE EJECTOR DRAINING VALVE</t>
  </si>
  <si>
    <t>B11_09</t>
  </si>
  <si>
    <t>B11_15 - MOUNTING OF F/D ELBOW ON TLT</t>
  </si>
  <si>
    <t>B11_15</t>
  </si>
  <si>
    <t>C14 - Inspection of joints of integrated hull penetration</t>
  </si>
  <si>
    <t>C14</t>
  </si>
  <si>
    <t>C19 - Inspection of BW joints belonging af class 1/1</t>
  </si>
  <si>
    <t>C19</t>
  </si>
  <si>
    <t>C26 - INSPECTION ON WELDING OF STUD</t>
  </si>
  <si>
    <t>C26</t>
  </si>
  <si>
    <t>CA01 - BONDING ANECHOIC TILES</t>
  </si>
  <si>
    <t xml:space="preserve">CA01 </t>
  </si>
  <si>
    <t>CC4-INSP. OF A SYSTEM ON BARE SHEET METAL</t>
  </si>
  <si>
    <t>CC4</t>
  </si>
  <si>
    <t>D03C_WEB/PLANKING SQUARENESS INSPECTION</t>
  </si>
  <si>
    <t>D03C</t>
  </si>
  <si>
    <t>D07 - ADJACENT FRAME SPACE LENGTH INSPECTION</t>
  </si>
  <si>
    <t>D07</t>
  </si>
  <si>
    <t>D09-LENGTH OF FRAME SPACES AFTER WELDING (EXCEPT BUTT FRAME</t>
  </si>
  <si>
    <t>D09</t>
  </si>
  <si>
    <t>D20_3 - MARKING OF THE BEVELS AND LIMBER HOLES</t>
  </si>
  <si>
    <t>D20_3</t>
  </si>
  <si>
    <t>D21 - HULL PENETRATION POSITIONING BEFORE WELDING</t>
  </si>
  <si>
    <t>D21</t>
  </si>
  <si>
    <t>D21 - INSPECTION OF HULL PENETRATION POSITIONING BEFORE WELD</t>
  </si>
  <si>
    <t>D71_2-INSPECTION OF THE FORM OF THE SHEATHING ELEMENTS</t>
  </si>
  <si>
    <t>D42_5 - INSPECTION OF THE MARKING OF THE BEVELS</t>
  </si>
  <si>
    <t>D44 - TLT COAMING ALIGNEMENT AND MACHINING INSPECTION</t>
  </si>
  <si>
    <t>D47_4 - INSPECTION OF THE POSITIONING OF THE RUDDER HOLES</t>
  </si>
  <si>
    <t>D51_10 - INSPECTION OF THE POSITIONING OF THE PENETRATIONS</t>
  </si>
  <si>
    <t>D51_3 - INSPECTION OF THE MACHINING OF THE PENETRATIONS</t>
  </si>
  <si>
    <t>D76_2 - THICKNESS INSPECTION OF A TORUS</t>
  </si>
  <si>
    <t>D55 - INSPECTION OF HULL HATCHES MOUNTING ON BOARD</t>
  </si>
  <si>
    <t>D36I_2 - MEASUREMENT BETWEEN THE ADJACENT FRAME</t>
  </si>
  <si>
    <t>D57_20-INSPECTION OF THE THICKNESS OF THE ROUND PARTS</t>
  </si>
  <si>
    <t>D57_22-INSPECTION OF THE SETTING OF THE MACHINING BENCH</t>
  </si>
  <si>
    <t>D58_9 - RAISE / CHECK THE SLOPE OF THE SIDES</t>
  </si>
  <si>
    <t>D37_1 - INSPECTION OF THE TUBULAR TRACING DEVICE POSITION</t>
  </si>
  <si>
    <t>D37_1</t>
  </si>
  <si>
    <t>D59_05-INSP OF BEARING SURFACE AFTER ADJUSTMENT</t>
  </si>
  <si>
    <t>D62-A - INSPECTION OF THE STERNGLAND COAMING INSTALLATION</t>
  </si>
  <si>
    <t>D62-A-08 - INSPECTION OF STERN GLAND COAMING ON-BOARD..</t>
  </si>
  <si>
    <t>D62-B-02 - INSPECTION OF TRACING TUBE POSITIONING</t>
  </si>
  <si>
    <t>D62-C-02 - INSPECTION OF REAMING BAR POSITIONING</t>
  </si>
  <si>
    <t>D63_4 - INSPECTION OF THE MACHINING OF THE RUDDER HOLES</t>
  </si>
  <si>
    <t>D63_8 - INSPECTION OF THE ADJUSTMENT OF THE REAMING BAR</t>
  </si>
  <si>
    <t>D64_6-Shape of bulkhead</t>
  </si>
  <si>
    <t>D37_5 - TRACING OF THE POSITIONING MARKS ON THE COAMING</t>
  </si>
  <si>
    <t>D37_5</t>
  </si>
  <si>
    <t>D37_7 - INSPECTION OF THE POSITION OF THE MACHINE</t>
  </si>
  <si>
    <t>D37_7</t>
  </si>
  <si>
    <t>D40_05 - INSPECTION OF THE BEVEL MACHINING</t>
  </si>
  <si>
    <t>D67-Sheathing integration inspection</t>
  </si>
  <si>
    <t>D35_10-Lentgh between bevel tips, lenght of 64mm points</t>
  </si>
  <si>
    <t>D36H - SECTION BUTTS PERIMETER MEASUREMENT</t>
  </si>
  <si>
    <t xml:space="preserve">D36H </t>
  </si>
  <si>
    <t>D34_5-Height of frame inspection</t>
  </si>
  <si>
    <t>D34_5</t>
  </si>
  <si>
    <t>D35_3-Frame circularity inspection</t>
  </si>
  <si>
    <t>D35A - MANUFACTURING CHECKS OF SUBSECTIONS</t>
  </si>
  <si>
    <t xml:space="preserve">D35A </t>
  </si>
  <si>
    <t>D35-Manufacturing checks of subsections</t>
  </si>
  <si>
    <t>D35</t>
  </si>
  <si>
    <t>D36A_2 - VERTICALITY OF SUB-SECTIONS ENDS</t>
  </si>
  <si>
    <t>E01-INSP OF THE ASSEMBLY AND THE CONNECTION ...</t>
  </si>
  <si>
    <t>D85_2 - MOUNTING INSPECTION BY QUALITY CONTROL</t>
  </si>
  <si>
    <t>D91 - Inspection of axes and position of...</t>
  </si>
  <si>
    <t>D91_3 - INSPECTION OF AXES AND POSITION OF THE TLTs..</t>
  </si>
  <si>
    <t>D93-01 Insp of the position of the glide slides</t>
  </si>
  <si>
    <t>D93-05 Control of the raising frame slant</t>
  </si>
  <si>
    <t>D94_02 - AXES TRACING INSPECTION</t>
  </si>
  <si>
    <t>D94_11 - INSPECTION OF PLATFORM FLATNESS AFTER MACHINING</t>
  </si>
  <si>
    <t>D94_15 - INSPECTION OF THE DSRV POSITION ON BOARD</t>
  </si>
  <si>
    <t>D95_02 - CHECK CORRECT ALIGNMENT OF THE RAILS</t>
  </si>
  <si>
    <t>D80_2 - CHECKING THE AXIS MARKING</t>
  </si>
  <si>
    <t>D95_08 - CHECK THAT THE CONTACTORS TRIP CORRECTLY</t>
  </si>
  <si>
    <t>D80_5 - INSPECTION OF THE BEVEL MARKING</t>
  </si>
  <si>
    <t>D95_29 - CHECK THE ORIENTATION AND VERTICALITY OF THE...</t>
  </si>
  <si>
    <t>D95_35 - CHECKTHE POSITION OF THE ATTACK PERISCOPE DAMPER</t>
  </si>
  <si>
    <t>D95_40 - CHECK THAT THE ATTACK PERISCOPE DETECTORS...</t>
  </si>
  <si>
    <t>D81_23 - INSPECT THE HEIGHT OF THE EDGES</t>
  </si>
  <si>
    <t>D81_3 - FORMING RIG INSPECTION</t>
  </si>
  <si>
    <t>D81_31 - DIMENSIONAL CHECKS OF THE TEMPLATES</t>
  </si>
  <si>
    <t>D81_38-ADDRESSING THE THICKNESS DURING MACHINING</t>
  </si>
  <si>
    <t>D81_7-PRE-WELDING INSP ASSEMBLY OF THE QUARTERS TO AT A TIME</t>
  </si>
  <si>
    <t>D82_24 - WEB/FLANGE SQUARING CHECK</t>
  </si>
  <si>
    <t>D96_08-MEASURE THE PENETRATION AND CALCULATE...</t>
  </si>
  <si>
    <t>D82_26-POSITION OF THE FRAMES IN THE COAMING PRIOR...</t>
  </si>
  <si>
    <t>D82_27 - CHECK OF THE MARKING OF THE PLANKING</t>
  </si>
  <si>
    <t>D82_29 - CHECK OF THE FORM AND FLATNESS OF THE PLANKING</t>
  </si>
  <si>
    <t>D82_33-POSITION OF THE FRAMES WITH RESPECT TO...</t>
  </si>
  <si>
    <t>D82_41-POSITION OF THE QUARTERS OF THE BUTT JOINT SUPPORT..</t>
  </si>
  <si>
    <t>D82_43 - FLANK DEFLECTION CHECK</t>
  </si>
  <si>
    <t>D82_49 - MACHINING INSPECTION</t>
  </si>
  <si>
    <t>D82_52 - CHECK HULL PASSAGE POSITION</t>
  </si>
  <si>
    <t>D82_6 - INSP OF THE MARKING OF ONE BUTT OF EACH QUARTER</t>
  </si>
  <si>
    <t>D82_60 - INSPECTION OF PLATING INNER SHAPE</t>
  </si>
  <si>
    <t>D96_58-CHECK THE TIGHTENING OF THE SUPERBOLT NUT</t>
  </si>
  <si>
    <t>D97_02- Positioning of the stowage racks of the KE module...</t>
  </si>
  <si>
    <t>D97</t>
  </si>
  <si>
    <t>D97_03- Inspection of the fuse mount assembly</t>
  </si>
  <si>
    <t>E09-INSPECTION OF THE DIRECTION</t>
  </si>
  <si>
    <t>E09</t>
  </si>
  <si>
    <t>E11-INSP OF THE SWITCHBOARD OUTGOING FEEDERS</t>
  </si>
  <si>
    <t>E11</t>
  </si>
  <si>
    <t>I06 - INSPECTION COLD ROOM INSULATION</t>
  </si>
  <si>
    <t>I06</t>
  </si>
  <si>
    <t>M03-PIPE TRACABILITY INSPECTION</t>
  </si>
  <si>
    <t>M03</t>
  </si>
  <si>
    <t>M06 - INSPECTION WELDING PIPE</t>
  </si>
  <si>
    <t>M06</t>
  </si>
  <si>
    <t>MS02_2-INSPECTION OF COMPRESSION AND ASSEMBLY COMPLIANCE</t>
  </si>
  <si>
    <t>MS02_2</t>
  </si>
  <si>
    <t>S02-TIGHTNESS TEST</t>
  </si>
  <si>
    <t>S02</t>
  </si>
  <si>
    <t>P02-INSPECTIONS OF ANODES</t>
  </si>
  <si>
    <t>P02</t>
  </si>
  <si>
    <t>S03-CIRCUIT OBSTRUCTION FREE TEST</t>
  </si>
  <si>
    <t>S03</t>
  </si>
  <si>
    <t>S04 - RESISTANCE TEST OF NON PRESSURE RESISTANT STRUCTURES</t>
  </si>
  <si>
    <t>S04</t>
  </si>
  <si>
    <t>SMB-200017 JOINT MOUNTING</t>
  </si>
  <si>
    <t>SMB-200017 TEMPORARY FASTENERS</t>
  </si>
  <si>
    <t>T03-Inspection of passages 80HLES traceability</t>
  </si>
  <si>
    <t>T03</t>
  </si>
  <si>
    <t>D82_20 - SQUARING CHECK OF FRAME FLANGES</t>
  </si>
  <si>
    <t>D82_42-CHECK OF THE MARKINGS OF THE MALE SOFT PATCH EDGES</t>
  </si>
  <si>
    <t>D82_8 - INSP THE FORM OF THE TWO HALF COAMINGS</t>
  </si>
  <si>
    <t>D94_01 - CIRCULARITY OF STRAKE B03</t>
  </si>
  <si>
    <t>D59_02-INSP OF THE HORIZONTAL AND INDENTATION OF THE MALE...</t>
  </si>
  <si>
    <t>D59_06-CHECK THE THICKNESSES OF THE BUTT STRAP...</t>
  </si>
  <si>
    <t>D62-C-04 - INSPECTION OF THE DRILLING TEMPLATE POSITION</t>
  </si>
  <si>
    <t>D94_07 - INSPECTION OF HATCH FIRST POSITIONING</t>
  </si>
  <si>
    <t>A03 - RESILIENT MOUNT COMPRESSION</t>
  </si>
  <si>
    <t>A03</t>
  </si>
  <si>
    <t>A04 - RESILIENT MOUNT FREQUENCY</t>
  </si>
  <si>
    <t>A04</t>
  </si>
  <si>
    <t>B11_17 - MOUNTING OF LOCKING PIN DEVICE</t>
  </si>
  <si>
    <t>B11_17</t>
  </si>
  <si>
    <t>B11_18 - MOUNTING OF PR INTERNAL DOOR OF THE TLTS</t>
  </si>
  <si>
    <t>B11_18</t>
  </si>
  <si>
    <t>B11_03 - MOUNTING OF CUPOLA VALVE ON THE FRESH AIR OBTURATOR</t>
  </si>
  <si>
    <t>B11_03</t>
  </si>
  <si>
    <t>B11_10 - MOUNTING OF GARBAGE EJECTOR BLOWING VALVE</t>
  </si>
  <si>
    <t>B11_10</t>
  </si>
  <si>
    <t>C02 - Inspection of welding joints of frame web</t>
  </si>
  <si>
    <t>C02</t>
  </si>
  <si>
    <t>C18 - Inspection on FW welding joints belonging to Classes..</t>
  </si>
  <si>
    <t>C21-Weling joints BW class 1/2 - 2/2</t>
  </si>
  <si>
    <t>C21</t>
  </si>
  <si>
    <t>CD01 - SPECIMEN MONITORING SHEET</t>
  </si>
  <si>
    <t xml:space="preserve">CD01 </t>
  </si>
  <si>
    <t>D06-JOINING FRAME SPACE - ADJACENT FRAME SPACE DEFLECTION</t>
  </si>
  <si>
    <t>D06-J</t>
  </si>
  <si>
    <t>D10-FRAME SPACES DEFLECTION</t>
  </si>
  <si>
    <t>D10</t>
  </si>
  <si>
    <t>D11-SUBSECTION PERIMETER INSPECTION</t>
  </si>
  <si>
    <t>D20 - HULL DRILLING</t>
  </si>
  <si>
    <t>D20</t>
  </si>
  <si>
    <t>D70 - Circularity of the section</t>
  </si>
  <si>
    <t>D44_3 - CHECK OF 2ND ALIGNMENT</t>
  </si>
  <si>
    <t>D44_6 - CHECK OF THE MACHINING AND MARKING</t>
  </si>
  <si>
    <t>D45 - ALIGNMENT AND OPTICAL MEASUREMENT OF BOW HYDROPLANE...</t>
  </si>
  <si>
    <t>D71_2-Shape inspection of sheathings</t>
  </si>
  <si>
    <t>D73 - FRAME INSPECTION AFTER FITTING OF A BUILT-IN PASSAGE</t>
  </si>
  <si>
    <t>D73_2 - FRAME WEB / SHEATHING SQUARING AFTER FITTING OF…</t>
  </si>
  <si>
    <t>D47_2-INSP. OF THE MARKS ON THE BRIDGE FIN STRUCTURE FOR…</t>
  </si>
  <si>
    <t>D51_12 - TRANSFER OF POINTS FOR THE MACHINING IN WORKSHOP</t>
  </si>
  <si>
    <t>D51_1-INSP. OF THE CENTERING OF THE TUBULAR TRACING DEVICE</t>
  </si>
  <si>
    <t>D52_21 - INSPECTION OF THE BEARING SURFACE (SELF-INSPECTION)</t>
  </si>
  <si>
    <t>D76_3 - ELONGATION OF PRESSED PARTS</t>
  </si>
  <si>
    <t>D55_2 - INSPECTION OF THE SEATING BEARING SURFACE</t>
  </si>
  <si>
    <t>D55_3-INSP. OF THE MOUNTING OF THE BALANCING MECHANISM</t>
  </si>
  <si>
    <t>D55_5 - TRACEABILITY INSPECTION</t>
  </si>
  <si>
    <t>D57_14-TRANSFER POINTS FOR MACHINING THE MALE SOFT PATCH</t>
  </si>
  <si>
    <t>D58_2 - MEASURE THE DIMENSIONS OF THE MALE SOFT PATCH</t>
  </si>
  <si>
    <t>D58_5 - CHECKED OF THE RADIUS IN THE ROUND PARTS</t>
  </si>
  <si>
    <t>D59_01-MEASUREMENTS DURING ADJUSTMENT</t>
  </si>
  <si>
    <t>D62-A-06 - INSPECTION OF BEVELS GRINDING</t>
  </si>
  <si>
    <t>D62-B-03 - INSPECTION OF TRACING OF THE AFT BRACKET TUBE..</t>
  </si>
  <si>
    <t>D62-D - INSPECTION OF THE AFT BEARING MACHINING</t>
  </si>
  <si>
    <t>D63_1 - INSPECTION OF THE TUBULAR TRACING DEVICE POSITION</t>
  </si>
  <si>
    <t>D63_5 - INSPECTION OF THE DIAMETERS</t>
  </si>
  <si>
    <t>D65B- ASSEMBLY INSPECTION OF THE FRESH AIR CUPOLA</t>
  </si>
  <si>
    <t>D66B - ASSEMBLY INSPECTIONS OF THE ACCESS TRUNK</t>
  </si>
  <si>
    <t>D39_1 – CHECK OF THE HORIZONTAL AXIS OF THE FORWARD</t>
  </si>
  <si>
    <t>D39_1</t>
  </si>
  <si>
    <t>D39_2 – VERTICALITY OF SUB-SECTIONS ENDS</t>
  </si>
  <si>
    <t>D39_2</t>
  </si>
  <si>
    <t>D39_3 – HORIZONTAL AXIS ALIGMENT</t>
  </si>
  <si>
    <t>D39_3</t>
  </si>
  <si>
    <t>D40_01 - INSPECTION OF THE REFERENCE FRAME TRACING POSITION</t>
  </si>
  <si>
    <t>D40_09 - INSPECTION OF FLAT BAR AND RAISING FRAME REFERENCE</t>
  </si>
  <si>
    <t>D68_4-Positionning inspection of non built-in passages</t>
  </si>
  <si>
    <t>D34_2-Offset of Web / Flange joints</t>
  </si>
  <si>
    <t>D34_2</t>
  </si>
  <si>
    <t>D36B_1 - JOINT COLD CLEARANCE</t>
  </si>
  <si>
    <t>D36D - 64 MM POINTS IF JOINT GRINDING</t>
  </si>
  <si>
    <t xml:space="preserve">D36D </t>
  </si>
  <si>
    <t>D35_10-SUB-SECTION LENGTH BETWEEN BEVEL TIPS BEFORE MACHININ</t>
  </si>
  <si>
    <t>D36C_2 - OFFSET OF THE JOINT AT HOT TEMPERATURE</t>
  </si>
  <si>
    <t>D35_14-FRAME HEIGHT AFTER WELDING</t>
  </si>
  <si>
    <t>D35_7-Lenght of frame space before tack welding (exept butt)</t>
  </si>
  <si>
    <t>D35_7</t>
  </si>
  <si>
    <t>D36A_1 - HL HORIZONTALITY INSPECTION</t>
  </si>
  <si>
    <t>E03-INSPECTION OF THE GROUNDING OF THE VENTILATION DUCTS</t>
  </si>
  <si>
    <t>E03</t>
  </si>
  <si>
    <t>D93-03 Insp of the opening of bow shutters</t>
  </si>
  <si>
    <t>D93-08 Control assembly of the guide extension cord</t>
  </si>
  <si>
    <t>D94_09 - INSPECTION OF THE HULL PASSAGE</t>
  </si>
  <si>
    <t>D94_10 - INSPECTION OF HULL PASSAGES POSITIONING</t>
  </si>
  <si>
    <t>D94_12 - INSPECTION OF PLATFORM RO UGHNESS AFTER MACHINING</t>
  </si>
  <si>
    <t>D94_18 - INSOECTION OF THE AXIS POINT AND PRE-CUTTING MARKS</t>
  </si>
  <si>
    <t>D80 - FWD BULKHEAD HULL PENETRATION INTEGRATION INSPECTION</t>
  </si>
  <si>
    <t>D80_1 - INSPECTION OF THE MARKING OF THE REFERENCE POINTS</t>
  </si>
  <si>
    <t>D95_07 - CHECK THE CORRECT MAST HOISTING/LOWERING</t>
  </si>
  <si>
    <t>D80_8 - INSPECTION OF THE POSITIONING OF THE 6 TLT COAMINGS</t>
  </si>
  <si>
    <t>D95_25 - CHECK THE CLEARANCE AROUND THE ANTENNA OF THE...</t>
  </si>
  <si>
    <t>D96_01-INSP OF THE BEARING SURFACE (SELF-INSPECTION)</t>
  </si>
  <si>
    <t>D81_21 - FLANK DEFLECTION INSPECTION</t>
  </si>
  <si>
    <t>D81_34 - CHECK THE MACHINING OF THE TEST SPECIMENS</t>
  </si>
  <si>
    <t>D81_35 - CHECK THE DIFFERENCES BETWEEN THE PROGRAM AND...</t>
  </si>
  <si>
    <t>D81_36 - CHECK THE CONFORMITY OF THE TRIMMED SECTION MACH...</t>
  </si>
  <si>
    <t>D81_36 - PERFORM AN US INSPECTION OF THE THICKNESSES AT...</t>
  </si>
  <si>
    <t>D81_42 - CHECK THE MACHINING OF THE BEVEL 25*25</t>
  </si>
  <si>
    <t>D81_47 - CHECK THE MACHINING OF THE EDGE</t>
  </si>
  <si>
    <t>D96_05-CHECK THE CLEARANCE BETWEEN THE CONES</t>
  </si>
  <si>
    <t>D81_50 - CHECK THE MACHINING OF THE FLAT BARS</t>
  </si>
  <si>
    <t>D81_6 - MARKING OF ONE BUTT OF EACH QUARTER</t>
  </si>
  <si>
    <t>D82_22 - WEB POSITION MARKING CHECK</t>
  </si>
  <si>
    <t>D96_12-MEASURE THE CLEARANCE BETWEEN THE FACES...</t>
  </si>
  <si>
    <t>D82_3 - FORMING RIG INSPECTION</t>
  </si>
  <si>
    <t>D82_30 - CHECK OF THE HEIGHT OF THE FRAMES</t>
  </si>
  <si>
    <t>D82_44 - CONTROL THE DIMENSIONS OF MALE SOFT PATCH...</t>
  </si>
  <si>
    <t>D82_50 - FRAME SPACE DEFLECTION CHECK</t>
  </si>
  <si>
    <t>D82_51 - CHECK OF THE HEIGHT OF...</t>
  </si>
  <si>
    <t>D96_57-CHECK THE MARKING OF THE SQUARE LINES</t>
  </si>
  <si>
    <t>G01-DIMENSIONAL INSP. REPORT FOR FABRICATED STRUCTURES MANUF</t>
  </si>
  <si>
    <t>G01</t>
  </si>
  <si>
    <t>F03-OTHER FLUID INSPECTIONS</t>
  </si>
  <si>
    <t>F03</t>
  </si>
  <si>
    <t>E23-INSPECTION OF THE CABLE LENGTHS</t>
  </si>
  <si>
    <t>E23</t>
  </si>
  <si>
    <t>I02 - INSPECTION OF PIPE FIRE PROTECTION</t>
  </si>
  <si>
    <t>I02</t>
  </si>
  <si>
    <t>I08-ARRANGEMENTS INSPECTION</t>
  </si>
  <si>
    <t>I08</t>
  </si>
  <si>
    <t>L01 - WEIGHING OF NON PRESSURE-RESISTANT STRUCTURE AND¿</t>
  </si>
  <si>
    <t>M08-Inspection of CuNiFe circuit passivation</t>
  </si>
  <si>
    <t>M08</t>
  </si>
  <si>
    <t>MT01-MAINTENANCE</t>
  </si>
  <si>
    <t>P01 - STEEL PREPARATION WORK</t>
  </si>
  <si>
    <t>PC03 - PARTICULAR INSPECTION</t>
  </si>
  <si>
    <t>PC09 - LEAK TEST OF THE MOULD</t>
  </si>
  <si>
    <t>SMB-200017 BEFORE WELDING FOR SEAL LIMBER HOLE</t>
  </si>
  <si>
    <t>SMB-200017 DURING BUTT HULL JUNCTION WELDING</t>
  </si>
  <si>
    <t>S08-HOLDING TEST</t>
  </si>
  <si>
    <t>S08</t>
  </si>
  <si>
    <t>SMB-200017 HEAT INPUT INSPECTION (AUTOMATIC)</t>
  </si>
  <si>
    <t>SMB-200017 DURING FILET WELD FOR SEATINGS</t>
  </si>
  <si>
    <t>SMB-200017 NDT COMPARING SHEET FOR SEATINGS</t>
  </si>
  <si>
    <t>SMB-200017 HEAT INPUT INSPECTION FOR SEATINGS (MANUAL)</t>
  </si>
  <si>
    <t>SMB-200017 NDT DYE PENETRANT INSPECTION FOR SEATINGS</t>
  </si>
  <si>
    <t>SMB-200017 NDT RADIOGRAPHY INSPECTION</t>
  </si>
  <si>
    <t>X03-EQUIPEMENT IMPORTANT FOR DIVING SAFETY (EISP)...</t>
  </si>
  <si>
    <t>X03</t>
  </si>
  <si>
    <t>T02 - Forged parts traceability check</t>
  </si>
  <si>
    <t>T02</t>
  </si>
  <si>
    <t>D82_35 - CHECK OF THE AXIS MARKING</t>
  </si>
  <si>
    <t>D44_7-CENTERING OF THE TUBULAR TRACING DEVICE FOR MARKING...</t>
  </si>
  <si>
    <t>D65A_7-INSPECTION OF END BULKLHEADS SHAPE OF THE CUPOLA</t>
  </si>
  <si>
    <t>D81_46 - CHECK THE BORE HOLES AND THE RA FORWARD / AFT FACE</t>
  </si>
  <si>
    <t>D81_48 - CHECK THE OPENING SOFT PATH AND MEASURING LENGTH...</t>
  </si>
  <si>
    <t>D57_03-MEASUREMENT OF THE POSITIONS OF THE BOSSES...</t>
  </si>
  <si>
    <t>D95_19 - CHECK THE ORENTATION OF THE OPTRONIC MAST POD</t>
  </si>
  <si>
    <t>D95_22 - CHECK THE POSITION OF THE RADAR ANTENNA MAST FRAME</t>
  </si>
  <si>
    <t>D94_16 - INSPECTION OF HATCH OPERATION</t>
  </si>
  <si>
    <t>D94_19 - INSPECTION OF THE TUBULAR TRACING DEVICE POSITION</t>
  </si>
  <si>
    <t>A07-ACOUSTIC DISCRETION TRACABILITY CHECK</t>
  </si>
  <si>
    <t>A07</t>
  </si>
  <si>
    <t>B01-STRENGH TEST OF OBTURATORS</t>
  </si>
  <si>
    <t>B01</t>
  </si>
  <si>
    <t>B11_26 - MOUNTING INFLATABLE SEAL AND O-RING OF WIRE ANTENNA</t>
  </si>
  <si>
    <t>B11_26</t>
  </si>
  <si>
    <t>B11_04 - FASTNING OF THE HULL BEARING OF THE ATTACK...</t>
  </si>
  <si>
    <t>B11_04</t>
  </si>
  <si>
    <t>C15 - Inspection of BW joints 1/1 strength hull appendage</t>
  </si>
  <si>
    <t>C15</t>
  </si>
  <si>
    <t>C23-Welding joints BW 1/3 - 1/4 - 2/3 - 2/4 or FW 1/3 - 1/4</t>
  </si>
  <si>
    <t>CD02 - SPECIMEN MONITORING SHEET</t>
  </si>
  <si>
    <t xml:space="preserve">CD02 </t>
  </si>
  <si>
    <t>D03A-Web/planking squareness inspection</t>
  </si>
  <si>
    <t>D31_3-Edge bevel and profile - transition slope inspection</t>
  </si>
  <si>
    <t>D10-Inspection of deflection in frame spaces</t>
  </si>
  <si>
    <t>D31_4-Inspection of 64 or 128mm points after machining</t>
  </si>
  <si>
    <t>D31_4</t>
  </si>
  <si>
    <t>D20_1-INSPECTION OF THE DIAMETER WITH REAMING BAR IN PLACE</t>
  </si>
  <si>
    <t>D20_1</t>
  </si>
  <si>
    <t>D27 - JOINING FRAME SPACE LENGTH INSPECTION</t>
  </si>
  <si>
    <t>D27</t>
  </si>
  <si>
    <t>D31 - Manufacturing checks of planking strakes</t>
  </si>
  <si>
    <t>D31</t>
  </si>
  <si>
    <t>D69 - VERTICALITY OF THE SECTION</t>
  </si>
  <si>
    <t>D70 - CIRCULARITY OF THE SECTION</t>
  </si>
  <si>
    <t>D44_1 - CHECK OF THE INITIAL ALIGNMENT</t>
  </si>
  <si>
    <t>D44_4 - CHECK OF 2ND FINAL ALIGNMENT</t>
  </si>
  <si>
    <t>D49 - INSPECTION OF RESIN CHOCKING</t>
  </si>
  <si>
    <t>D49</t>
  </si>
  <si>
    <t>D51_7 - INSPECTION OF THE BEVEL MACHINING</t>
  </si>
  <si>
    <t>D52_24 - PENETRATION MEASUREMENT (QC INSPECTION)</t>
  </si>
  <si>
    <t>D52_27 - MEASUREMENT OF THE PENETRATION...</t>
  </si>
  <si>
    <t>D42_2 - MARKING OF THE MACHINING DIAMETER-THE SQUARE LINES</t>
  </si>
  <si>
    <t>D42_6 - INSPECTION OF THE MACHINING OF THE BEVELS</t>
  </si>
  <si>
    <t>D78_7 - LONGITUDINAL AND TRANSVERSE POSITION...</t>
  </si>
  <si>
    <t>D57_13-CHECK THE CENTRING OF THE MACHINING WITH REPECT...</t>
  </si>
  <si>
    <t>D58_11 - CHECK THE DIMENSIONS OF THE MALE SOFT PATCH</t>
  </si>
  <si>
    <t>D58_3 - MEASURE THE THICKNESSES OF THE PLATES</t>
  </si>
  <si>
    <t>D37 - MANUFACTURING CHECKS ON INCORPORATED HULL PASSAGES</t>
  </si>
  <si>
    <t>D37</t>
  </si>
  <si>
    <t>D59_04-INSP OF THE THICKNESS OF THE FEMALE SOFT PATCH...</t>
  </si>
  <si>
    <t>D62-A-02 - INSPECTION OF POSITIONING OF TRACING..</t>
  </si>
  <si>
    <t>D62-C - INSPECTION OF THE STERNGLAND COAMING MACHINING</t>
  </si>
  <si>
    <t>D37_4 - INSPECTION OF THE MARKS ON THE COAMING</t>
  </si>
  <si>
    <t>D37_4</t>
  </si>
  <si>
    <t>D42_3-POSITION OF THE BORING MACHINE FOR MACHINING OF HULL</t>
  </si>
  <si>
    <t>D63_3 - MARKING OF THE HYDROPLANE RUDDER HOLES ON THE HULL</t>
  </si>
  <si>
    <t>D63_9 - RECORDING OF THE DATA FOR MACHINING IN THE WORKSHOP</t>
  </si>
  <si>
    <t>D64-Manufacturing checks of bulkheads</t>
  </si>
  <si>
    <t>D65A_2-INSPECTION OF FRAMES POSITION WITH RESPECT...</t>
  </si>
  <si>
    <t>D65A-MANUFACTURING INSPECTION OF FRESH AIR INDUCTION CUPOLA</t>
  </si>
  <si>
    <t>D65B_6-TRANSVERSE POSITION OF FRESH AIR CUPOLA</t>
  </si>
  <si>
    <t>D66A_3 - CIRCULARITY OF THE ACCESS TRUNK</t>
  </si>
  <si>
    <t>D66A_5-LENGTH FRAME SPACES OF THE ACCESS TRUNK</t>
  </si>
  <si>
    <t>D66B_6 - LONGITUDINAL POSITION OF ACCESS TRUNK</t>
  </si>
  <si>
    <t>D67_2-Web/sheathing squaring after sheathing integration</t>
  </si>
  <si>
    <t>D40_02-MEASURING THE SOFT PATCH INDENTATION FOR THE SECOND..</t>
  </si>
  <si>
    <t>D41_10 - HULL PENETRATION POSITIONING BEFORE WELDING</t>
  </si>
  <si>
    <t>D41_1</t>
  </si>
  <si>
    <t>D41_3 - INSPECTION OF THE TUBULAR POSITION AND OF THE MARKS</t>
  </si>
  <si>
    <t>D41_3</t>
  </si>
  <si>
    <t>D41_5 - CHECK OF THE MACHINED DIAMETERS</t>
  </si>
  <si>
    <t>D41_5</t>
  </si>
  <si>
    <t>D68_3-Tracing position of passages position</t>
  </si>
  <si>
    <t>D34B-MANUFACTURING CHECKS OF FRAMES - AFTER FRAMES MACHIN…</t>
  </si>
  <si>
    <t>D34B-</t>
  </si>
  <si>
    <t>D36G - LONGITUDINAL AND HORIZONTAL ALIGNMENT...</t>
  </si>
  <si>
    <t>D34_4-Frame radius inspection</t>
  </si>
  <si>
    <t>D34_4</t>
  </si>
  <si>
    <t>D35_15-HEIGHT OF MACHINED FRAME AFTER MACHINING</t>
  </si>
  <si>
    <t>D35_2-PERIMETER OF FRAMES AFTER MACHINING</t>
  </si>
  <si>
    <t>D34_6-Frame web evenness inspection</t>
  </si>
  <si>
    <t>D34_6</t>
  </si>
  <si>
    <t>D34_8-Frame perimeter inspection</t>
  </si>
  <si>
    <t>D34_8</t>
  </si>
  <si>
    <t>D36A_2-VERTICALITY OF SUB-SECTIONS ENDS</t>
  </si>
  <si>
    <t>D87_1 - INSPECTION OF SKIN SHAPE BEFORE JOINING OF FWD FRA..</t>
  </si>
  <si>
    <t>D89_2 - CIRCULARITY OF BALLAST TANK 2 BUTT ENDS</t>
  </si>
  <si>
    <t>D91_2 - MEASUREMENTS RECORD AND INSPECTION DURING ALIGNMENT</t>
  </si>
  <si>
    <t>D94_06 - INSPECTION OF POSITION OF THE HULL</t>
  </si>
  <si>
    <t>D94_08 - INSPECTION OF THE TRACING</t>
  </si>
  <si>
    <t>D95_06 - CHECK THE INCLINATION ANGLES OF THE CONTACTOR...</t>
  </si>
  <si>
    <t>D80_7 - INSPECTION OF THE REFERENCE MARKS... - DO NOT USE</t>
  </si>
  <si>
    <t>D95_14 - CHECK THE POSITION OF THE SNORTING MAST FIXED CHUTE</t>
  </si>
  <si>
    <t>D95_18 - CHECK THAT THE OPTRONIC MAST DETECTOR TRIPS...</t>
  </si>
  <si>
    <t>D95_21 - CHECK THE HEIGHT OF THE RADAR ANTENNA...</t>
  </si>
  <si>
    <t>D95_32 - CHECK THE CONDITION AND FLATNESS OF THE ATTACK...</t>
  </si>
  <si>
    <t>D81_13 - FORM INSPECTION (OVERALL VOLUME TEMPLATE)</t>
  </si>
  <si>
    <t>D81_2 - DIMENSIONAL INSPECTION OF VOLUME TEMPLATE</t>
  </si>
  <si>
    <t>D81_24 -INSP OF THE FORM OF THE BUTT STRAP SUPPORT FLAT BARS</t>
  </si>
  <si>
    <t>D96_02-MEASURE THE PENETRATION AND CALCULATETHE THICKNESS...</t>
  </si>
  <si>
    <t>D81_39 - ADDRESSING THE THICKNESS BEFORE THE FINAL MACHINING</t>
  </si>
  <si>
    <t>D81_47 - CHECK THE MACHINING OF THE FLAT BARS</t>
  </si>
  <si>
    <t>D96_04-CHECK OF THE PENETRATION OF THE GUDGEON</t>
  </si>
  <si>
    <t>D82 - INSPECTION OF THE MALE SOFT PATCH MANUFACTURING</t>
  </si>
  <si>
    <t>D82_11 - CHECK OF THE FORM OF THE COAMING</t>
  </si>
  <si>
    <t>D82_2 - DIMENSIONAL INSPECTION OF THE VOLUME TEMPLATE</t>
  </si>
  <si>
    <t>D96_10-MEASURE THE PENETRATION AND CALCULATE...</t>
  </si>
  <si>
    <t>D82_32 - SQUARING OF THE WEB/ SOFT PATCH PLANKING</t>
  </si>
  <si>
    <t>D82_40 - DIMENSIONAL CHECK OF THE COMPONENTS OF THE BUTT...</t>
  </si>
  <si>
    <t>D82_5 - INSPECTION OF THE FORM OF THE QUARTERS</t>
  </si>
  <si>
    <t>D82_53 - CHECK THE POSITION OF...</t>
  </si>
  <si>
    <t>D82_54 - INSPECTION OF THE MACHINING...</t>
  </si>
  <si>
    <t>D82_57 - INSPECTION OF THE MARKS...</t>
  </si>
  <si>
    <t>D96_45-INSP OF THE POSITINING OF THE HULL PASSAGES</t>
  </si>
  <si>
    <t>D82_7-PRE-WELDING INSP ASSEMBLY OF THE QUARTERS TO AT A TIME</t>
  </si>
  <si>
    <t>D83_1 - TORE TEMPLATE</t>
  </si>
  <si>
    <t>D83</t>
  </si>
  <si>
    <t>D83_2 - SPHERICAL PLATE TEMPLATE</t>
  </si>
  <si>
    <t>D83_3 - RING TEMPLATE</t>
  </si>
  <si>
    <t>D96_54-MEASURE THE RUDDER HOLE DIMENSIONS WITH RESPECT...</t>
  </si>
  <si>
    <t>D84 – INSPECTION OF THE REFERENCE LINES LAYOUT</t>
  </si>
  <si>
    <t>D84</t>
  </si>
  <si>
    <t>D96_74-CHECK THE POSITION OF THE ANGULAR SENSORS...</t>
  </si>
  <si>
    <t>D97_01- Positioning of the KE module – 1st inspection</t>
  </si>
  <si>
    <t>D97_04- Inspection of the mount assembly</t>
  </si>
  <si>
    <t>G01 - Dimentional inspection for manufactured structures</t>
  </si>
  <si>
    <t>E16-INSPECTION OF THE CONTINUITY AND THE INSULATION ...</t>
  </si>
  <si>
    <t>E16</t>
  </si>
  <si>
    <t>F01-OTHER ELECTRICAL INSPECTIONS</t>
  </si>
  <si>
    <t>F01</t>
  </si>
  <si>
    <t>F02-OTHER MECHANICAL INSPECTIONS</t>
  </si>
  <si>
    <t>F02</t>
  </si>
  <si>
    <t>L01 - WEIGHING OF NON PRESSURE-RESISTANT STRUCTURE AND…</t>
  </si>
  <si>
    <t>I09 - FLOOR COVERINGS INSPECTIONS</t>
  </si>
  <si>
    <t>I09</t>
  </si>
  <si>
    <t>I12-LINING BALLAST BOXES WITH MATTING</t>
  </si>
  <si>
    <t>I12</t>
  </si>
  <si>
    <t>M03-PIPE TRACABILITY CHECK</t>
  </si>
  <si>
    <t>MS01_1 - INSPECTION OF COMPRESSION AND ASSEMBLY COMPLIANCE</t>
  </si>
  <si>
    <t>MS01_1</t>
  </si>
  <si>
    <t>PC06 - INSPECTIONS OF THE PREPREG CURING</t>
  </si>
  <si>
    <t>PC02 - FINAL THICKNESS INSPECTION</t>
  </si>
  <si>
    <t>S12</t>
  </si>
  <si>
    <t>SMB-200017 NDT COMPARING SHEET</t>
  </si>
  <si>
    <t>SMB-200017 NDT MAGNETIC PARTICLE INSPECTION</t>
  </si>
  <si>
    <t>D82_45 - CONTROLS OF AXES</t>
  </si>
  <si>
    <t>D81_19 - INSPECTION OF THE DIMENSIONS</t>
  </si>
  <si>
    <t>D81_32 - CHECK THE POSITION OF TEMPLATE CAL1 PORT</t>
  </si>
  <si>
    <t>D81_43 - CHECK THE TEMPLATE POSITION</t>
  </si>
  <si>
    <t>D57_06-MEASUREMENT OF THE FEMALE SOFT PATCH GEOMETRY</t>
  </si>
  <si>
    <t>D57_16-INSPECTION OF THE 1st MACHINING OF THE ROUND PARTS</t>
  </si>
  <si>
    <t>D62-D-03 - INSPECTION OF AFT BRACKET TUBE MACHINING</t>
  </si>
  <si>
    <t>D94_23 - INSPECTION OF THE DIAMETER WITH THE REAMING BAR</t>
  </si>
  <si>
    <t>Related IR designation</t>
  </si>
  <si>
    <t>Rel</t>
  </si>
  <si>
    <t>31 - Manufacturing checks of planking strakes</t>
  </si>
  <si>
    <t xml:space="preserve">31 </t>
  </si>
  <si>
    <t>B06 - INSPECTION OF THE CONFORMITY OF THE PRESSURE HULL...</t>
  </si>
  <si>
    <t>B06</t>
  </si>
  <si>
    <t>B11_22 - MOUNTING OF THE MOVING PART OF THE WIRE ANTENNA</t>
  </si>
  <si>
    <t>B11_22</t>
  </si>
  <si>
    <t>B11_01 - FASTENING OF THE SNORTING MAST ON THE COAMING</t>
  </si>
  <si>
    <t>B11_01</t>
  </si>
  <si>
    <t>B11_13 - MOUNTING OF HYDRAULIC PASSAGES ON THE BODY...</t>
  </si>
  <si>
    <t>B11_13</t>
  </si>
  <si>
    <t>C13 - Inspection joints non integrated hull penetration</t>
  </si>
  <si>
    <t>C13</t>
  </si>
  <si>
    <t>C21 - Welding joints BW class 1/2 - 2/2</t>
  </si>
  <si>
    <t>C18 - Inspection of FW joints non belonging of class 1/1</t>
  </si>
  <si>
    <t>C24-Welding joints BW-FW Class 2/3-2/4-3/3-3/4-4/4</t>
  </si>
  <si>
    <t>C25 - WELDING INSPECTION OF PERMANENT EYEBOLTS</t>
  </si>
  <si>
    <t>C25</t>
  </si>
  <si>
    <t>CC5 - INSPECTIONS OF A SYSTEM OVER A HOLDING PRIMER</t>
  </si>
  <si>
    <t>CC5</t>
  </si>
  <si>
    <t>CC8 - INSPECTION OF A SYSTEM ON GRP</t>
  </si>
  <si>
    <t>CC8</t>
  </si>
  <si>
    <t>D31_3 - STIFFENER OF BEVELS ON BUTT ENDS OF STRAKES AND...</t>
  </si>
  <si>
    <t>D31_5-Edges flatness inspection</t>
  </si>
  <si>
    <t>D42 - INTEGRATION ON BOARD OF NON INCORPORATED HULL SLEEVES</t>
  </si>
  <si>
    <t>D71_1-DIMENSIONAL INSPECTION OF THE SHEATHING ELEMENTS</t>
  </si>
  <si>
    <t>D46_3 - INSP. OF THE AFT HYDROPLANE AXIS ALIGNMENT 2ND...</t>
  </si>
  <si>
    <t>D46_5 - INSP. OF THE AFT RUDDER GEAR AXIS ALIGNMENT 2ND...</t>
  </si>
  <si>
    <t>D46_7 - INSPECTION OF SQUARE LINES TRACING</t>
  </si>
  <si>
    <t>D72 - FINAL HULL CIRCULARITY</t>
  </si>
  <si>
    <t>D72</t>
  </si>
  <si>
    <t>D73_3 - FRAME HEIGHT AFTER FITTING OF BUILT-IN PASSAGE</t>
  </si>
  <si>
    <t>D47_5-INSP. OF THE SQUARE LINES ON THE BRACKETS AND SLEEVE..</t>
  </si>
  <si>
    <t>D76_1 - THICKNESS INSPECTION OF A SPHERICAL PLATE</t>
  </si>
  <si>
    <t>D52_20 - CHECK OF THE PENETRATION IN THE CONE OF THE...</t>
  </si>
  <si>
    <t>D52_5 - MEASURE THE DIMENSIONS WITH RESPECT TO THE AXIS</t>
  </si>
  <si>
    <t>D52_6 - INSTALLATION ALIGNMENT INSPECTION</t>
  </si>
  <si>
    <t>D78_1-INSPECTION OF DEFLECTION ON THE ESCAPE TRUNK TORIC..</t>
  </si>
  <si>
    <t>D78_2-INSPECTION OF DEFLECTION OF THE ESCAPE TRUNK SPHER..</t>
  </si>
  <si>
    <t>D78_6 - ESCAPE TRUNK VERTICALITY</t>
  </si>
  <si>
    <t>D55_6 - BOLTED HATCHES MOUNTING INSPECTION</t>
  </si>
  <si>
    <t>D57_05-INSPECTION OF THE MARKING OF THE ROUND PARTS</t>
  </si>
  <si>
    <t>D57_07-SUMMARY OF THE FEMALE SOFT PATCH MACHINING DIMENSIONS</t>
  </si>
  <si>
    <t>D36J - MEASUREMENT THE BUTTS (BEVEL EDGE)</t>
  </si>
  <si>
    <t xml:space="preserve">D36J </t>
  </si>
  <si>
    <t>D36K - INSP OF BUTTS MACH AND OF THE END FRAME CLEARANCES</t>
  </si>
  <si>
    <t xml:space="preserve">D36K </t>
  </si>
  <si>
    <t>D57_15-INSPECTION OF THE 1st POSITIONING OF THE REAMING BAR</t>
  </si>
  <si>
    <t>D57_17-INSPECTION OF THE THICKNESS OF THE ROUND...</t>
  </si>
  <si>
    <t>D59_07-CHECK OF THE DIMENSIONS OF THE SOFT PATCH OPENING</t>
  </si>
  <si>
    <t>D37_2-MARKING OF THE HULL OXYGEN CUTTING-MACHINING DIAMETER</t>
  </si>
  <si>
    <t>D37_2</t>
  </si>
  <si>
    <t>D63_7 - INSPECTION OF PASSAGE POSITIONING</t>
  </si>
  <si>
    <t>D63-INSP. OF THE DIVING AND DIRECTION RUDDER HOLE MACHINING</t>
  </si>
  <si>
    <t>D64_5-Deflection before drilling</t>
  </si>
  <si>
    <t>D66A_1 - LENGTH OF THE ACCESS TRUNK</t>
  </si>
  <si>
    <t>D67_4-Frame space lenght after sheathing integration</t>
  </si>
  <si>
    <t>D37_8 - INSPECTION OF THE HULL PENETRATION MACHINING</t>
  </si>
  <si>
    <t>D37_8</t>
  </si>
  <si>
    <t>D41_7 - TRACING OF THE POSITIONING MARKS ON THE COAMING</t>
  </si>
  <si>
    <t>D41_8 - INSPECTION OF BEVEL MACHINING</t>
  </si>
  <si>
    <t>D41-WEAPON EMBARKATION TRUNK ALIGNEMENT-MACHINING INSPECTION</t>
  </si>
  <si>
    <t>D35_11-Bevel profile after machining</t>
  </si>
  <si>
    <t>D35_11-BEVEL PROFILE INSPECTION AFTER MACHINING</t>
  </si>
  <si>
    <t>D35_13-FWD butt frame space lenght (after machining)</t>
  </si>
  <si>
    <t>D35_4-Limber holes inspection</t>
  </si>
  <si>
    <t>D35_7-HORIZONTALITY OF THE BUTT FRAME</t>
  </si>
  <si>
    <t>D35_9-Butt frame space length inspection</t>
  </si>
  <si>
    <t>D34_7-Web / flange squareness inspection</t>
  </si>
  <si>
    <t>D36A_2-VERTICALITY OF SUB-SECTIONS AND SECTIONS ENDS...</t>
  </si>
  <si>
    <t>D87_3 - BEFORE WELDING, SHAPE CONTINUITY INSPECTION OF..</t>
  </si>
  <si>
    <t>D92 - TLT CIRCULARITY</t>
  </si>
  <si>
    <t>D92</t>
  </si>
  <si>
    <t>D93-06 Control of corect functioning of the shutter running</t>
  </si>
  <si>
    <t>D94_20 - MARKING OF THE HULL OXYCUTTING</t>
  </si>
  <si>
    <t>D94_24 - INSPECTION OF THE MARKING OF THE BEVELS</t>
  </si>
  <si>
    <t>D78-MANUFACTURING INSPECTIONS OF THE ESCAPE TRUNK</t>
  </si>
  <si>
    <t>D95_12 - CHECK THAT THE CONTACTORS TRIP CORRECTLY AFTER...</t>
  </si>
  <si>
    <t>D95_16 - CHECK THE POSITION OF THE SNORTING MAST RAM</t>
  </si>
  <si>
    <t>D95_28 - CHECK THE ASSEMBLY OF THE RADAR ANTENNA MAST DAMPER</t>
  </si>
  <si>
    <t>D95_33 - CHECK THE VERTICALITY AND CENTRING OF THE AXIS...</t>
  </si>
  <si>
    <t>D81_12 - INSPECTION OF MARKINGS FOR OXYGEN CUTTING OF EDGES</t>
  </si>
  <si>
    <t>D81_18 - INSPECTION OF SPOKES OF THE QUARTERS</t>
  </si>
  <si>
    <t>D81_20 - MEASUREMENT OF ROUGH MACHINED PART POINTS</t>
  </si>
  <si>
    <t>D96_03-INSP OF THE BEARING SURFACE (QUALITY INSPECTION)</t>
  </si>
  <si>
    <t>D81_34 - CHECK THE MARKINGS OF THE END DRILL HOLES</t>
  </si>
  <si>
    <t>D81_38-CHECK THE HOLE AXES WITH RESPECT TO THE REFERENCE...</t>
  </si>
  <si>
    <t>D81_4 - INSPECTION OF SPOKES OF THE QUARTERS</t>
  </si>
  <si>
    <t>D81_43 - CHECK THE TAPPING</t>
  </si>
  <si>
    <t>D81_8 - INSPECTION OF THE FORM OF THE TWO HALF COAMINGS</t>
  </si>
  <si>
    <t>D82_1 - INSPECTION OF COAMING REFERENCE MARKINGS</t>
  </si>
  <si>
    <t>D82_12 - FLANK DEFLECTION CHECK</t>
  </si>
  <si>
    <t>D82_16 - INSPECTION OF THE SPOKE OF THE QUARTERS</t>
  </si>
  <si>
    <t>D82_25 - CHECK OF THE FRAME BUTT MARKINGS</t>
  </si>
  <si>
    <t>D96_07-MEASURE THE PENETRATION OF THE TRANSVERSE KEY</t>
  </si>
  <si>
    <t>D82_28 - CHECK OF THE FORM OF THE PLANKING</t>
  </si>
  <si>
    <t>D82_37 - CHECK MARKING Ø</t>
  </si>
  <si>
    <t>D82_46-MARKINGS OF THE POSITION OF THE FRAMES AND OF THE...</t>
  </si>
  <si>
    <t>D82_58 - STATEMENT OF POINTS ON THE DRAFT CALCULATED</t>
  </si>
  <si>
    <t>D96_14-MEASURE THE ASSEMBLY'S DIMENSIONS</t>
  </si>
  <si>
    <t>D96_42-INSP OF THE POSITIONING OF THE SLIDE</t>
  </si>
  <si>
    <t>D96_43-INSP OF THE MACHINED SECTIONS ON BOARD</t>
  </si>
  <si>
    <t>D96_53-MEASURE THE RUDDER HOLE DIMENSIONS WITH RESPECT...</t>
  </si>
  <si>
    <t>D96_55-CHECK THE POSITIONING OF THE PINTLE / GUDGEON</t>
  </si>
  <si>
    <t>D96_60-INSP OF THE POSITIONING OF THE ANGULAR TEMPLATES</t>
  </si>
  <si>
    <t>D96_72-INSP OF THE EXTENSION OF THE DIVING PLANE PRESS RAM</t>
  </si>
  <si>
    <t>D97_05- Positioning of the KE module – 2nd inspection</t>
  </si>
  <si>
    <t>E10-INSPECTION OF THE BE AND BT NETWORKS</t>
  </si>
  <si>
    <t>E10</t>
  </si>
  <si>
    <t>G04-SURFACE EVENNESS INSP. REPORT FOR FABRICATED STRUCTURES</t>
  </si>
  <si>
    <t>G04</t>
  </si>
  <si>
    <t>G07 - INSPECTION OF THE DRAUGHT MARK STENCIL POSITIONING</t>
  </si>
  <si>
    <t>G07</t>
  </si>
  <si>
    <t>MS01 - ACOUSTIC DISCRETION</t>
  </si>
  <si>
    <t>MS01</t>
  </si>
  <si>
    <t>N01 - PIPE MANUFACTURING INSPECTION (CAT B AND C)</t>
  </si>
  <si>
    <t>N01</t>
  </si>
  <si>
    <t>MS02-ACOUSTIC DISCRETION</t>
  </si>
  <si>
    <t>MS02</t>
  </si>
  <si>
    <t>PC11 - TEMPERATURE HYGROMETRY TRACKING</t>
  </si>
  <si>
    <t>PC07 - DESTRUCTIVE TESTING BY IGNITION LOSS</t>
  </si>
  <si>
    <t>S10- EQUIPMENTS RESISTANCE TEST PRESSURE</t>
  </si>
  <si>
    <t>S10</t>
  </si>
  <si>
    <t>SMB-200017 GRINDING FOR SEATINGS</t>
  </si>
  <si>
    <t>SMB-200017 MONTAGE DU JOINT</t>
  </si>
  <si>
    <t>TH01-Manufacturing checks of strakes</t>
  </si>
  <si>
    <t>B11_08 - MOUNTING OF INFLATABLE SEAL ON THE COAMING</t>
  </si>
  <si>
    <t>B11_08</t>
  </si>
  <si>
    <t>B11_11 - MOUNTING OF THE GARBAGE EJECTOR ISOLATING VALVE</t>
  </si>
  <si>
    <t>B11_11</t>
  </si>
  <si>
    <t>B11_23 - MOUNTING OF BALL CHECK VALVE ON MOVING PART...</t>
  </si>
  <si>
    <t>B11_23</t>
  </si>
  <si>
    <t>D78_8 - ESCAPE TRUNK VERTICAL POSITION</t>
  </si>
  <si>
    <t>D82_31 - POSITION OF THE PLANKING PRIOR TO WELDING</t>
  </si>
  <si>
    <t>D65A_1-LENGHT OF FRESH AIR CUPOLA (CYLINDRICAL PART)</t>
  </si>
  <si>
    <t>D66A_2 - SPERICAL BULKHEADS DEFLECTION BEFORE DRILLING..</t>
  </si>
  <si>
    <t>D87_2 - INSPECTION OF SKIN SHAPE AFTER JOINING OF FWD FRAM..</t>
  </si>
  <si>
    <t>D81_35 - CHECK THE THICKNESSES OF THE GAUGES BLOCKS</t>
  </si>
  <si>
    <t>D81_41 - CHECK THE POSITION OF THE BORE HOLES PORT</t>
  </si>
  <si>
    <t>D81_45 - CHECK THE SPOT FACINGS</t>
  </si>
  <si>
    <t>D81_7-PRE-WELDING INSP ASSEMBLY OF THE QUARTERS IN PAIRS</t>
  </si>
  <si>
    <t>D58_10 - CHECK THE PERPENDICULARITY OF THE SIDES</t>
  </si>
  <si>
    <t>D63_11 - INSPECTION OF THE RUDDER HOLE DRILLING</t>
  </si>
  <si>
    <t>A06 - SHOCK DETECTOR INSPECTION PRIOR TO ASSEMBLY</t>
  </si>
  <si>
    <t>A06</t>
  </si>
  <si>
    <t>C01 - Inspection of welding joints of planking</t>
  </si>
  <si>
    <t>C01</t>
  </si>
  <si>
    <t>B11_06 - MOUNTING OF SO INTERNAL DOOR OF THE TLTS</t>
  </si>
  <si>
    <t>B11_06</t>
  </si>
  <si>
    <t>B11_07 - MOUNTING OF SHAFT LINE GLAND ON COAMING</t>
  </si>
  <si>
    <t>B11_07</t>
  </si>
  <si>
    <t>C04 - Inspection of welding joints of frame web / flange</t>
  </si>
  <si>
    <t>C04</t>
  </si>
  <si>
    <t>C06 - Inspection of hull junctionning</t>
  </si>
  <si>
    <t>C06</t>
  </si>
  <si>
    <t>C24M - Welding joints BW 3/3-3/4-4/4 FW 2/3-2/4-3/3-3/4-4/4</t>
  </si>
  <si>
    <t>C24-Welding joints BW 3/3-3/4-4/4 FW 2/3-2/4-3/3-3/4-4/4</t>
  </si>
  <si>
    <t>CP1 - PAINTING INSPECTION</t>
  </si>
  <si>
    <t>CP1</t>
  </si>
  <si>
    <t>C28 - Inspection on FW welding joints not belonging to...</t>
  </si>
  <si>
    <t>C28</t>
  </si>
  <si>
    <t>CNC2-INSP OF A SYSTEM OVER THE SHOP OR HOLDING PRIMER PAINT</t>
  </si>
  <si>
    <t>CNC2-</t>
  </si>
  <si>
    <t>CB01 - RUBBING DOWN OF AN OIL TANK</t>
  </si>
  <si>
    <t xml:space="preserve">CB01 </t>
  </si>
  <si>
    <t>D31_1-Strake curve length-reserve strake overlength</t>
  </si>
  <si>
    <t>D31_1</t>
  </si>
  <si>
    <t>D32-Manufacturing checks of web frames</t>
  </si>
  <si>
    <t>D33_2-Flange element exterior development inspection</t>
  </si>
  <si>
    <t>D33_2</t>
  </si>
  <si>
    <t>D09-Frame space lenght inspection (exept junction)</t>
  </si>
  <si>
    <t>D12-SUB-SECTION LENGTH BETWEEN BEVEL TIPS AFTER MACHINING AN</t>
  </si>
  <si>
    <t>D31_6-Bevel straightness inspection</t>
  </si>
  <si>
    <t>D31_6</t>
  </si>
  <si>
    <t>D20_2-INSPECTION OF THE DIAMETER WITH REAMING BAR REMOVED</t>
  </si>
  <si>
    <t>D20_2</t>
  </si>
  <si>
    <t>D31_1-INSPECTION STRAKE CURVE LENGTH (INCLUDING REINFORCED..</t>
  </si>
  <si>
    <t>D68-Hull penetration inspection</t>
  </si>
  <si>
    <t>D70 - 1st CIRCULARITY INSPECTION</t>
  </si>
  <si>
    <t>D71_2-SHAPE INSPECTION OF SHEATHING ELEMENTS</t>
  </si>
  <si>
    <t>D42_1 - INSPECTION OF THE AXIS POINT MARKS</t>
  </si>
  <si>
    <t>D44_9 - MACHINING OF THE BULKHEAD MACHINING DIAMETERS</t>
  </si>
  <si>
    <t>D77 - MANUFACTURING INSPECTIONS OF THE SEWAGE TANK</t>
  </si>
  <si>
    <t>D57_01-CONFORMITY INSPECTION OF THE LONGITUDINAL AND...</t>
  </si>
  <si>
    <t>D57_02-INSPECTION OF THE REFERENCE RECTANGLE MARKING</t>
  </si>
  <si>
    <t>D57_04-INSPECTION OF THE POSITION OF THE MACHINING BENCH...</t>
  </si>
  <si>
    <t>D57_08-MEASUREMENT OF THE MALE GAUGE DIMENSIONS</t>
  </si>
  <si>
    <t>D57_21-INSPECTION OF THE THICKNESS OF THE BUTT-STRAP BAR</t>
  </si>
  <si>
    <t>D58_1 - CHECK THE POSITIONING OF THE SOFT PATCH</t>
  </si>
  <si>
    <t>D58_12 - CHECK THE THICKNESSES OF THE PLATES</t>
  </si>
  <si>
    <t>D58_13 - CHECK THE THICKNESSES IN THE ROUND PARTS</t>
  </si>
  <si>
    <t>D58_8 - RAISE THE HEIGHT OF THE FLATS</t>
  </si>
  <si>
    <t>D62-B - INSPECTION OF THE AFT BEARING INSTALLATION</t>
  </si>
  <si>
    <t>D62-B-05 - INSPECTION OF AFT BRACKET TUBE POSITIONING</t>
  </si>
  <si>
    <t>D63_10 - INSPECTION OF THE POSITION OF THE DRILLING GUIDE</t>
  </si>
  <si>
    <t>D66A_4-ACCESS TRUNK STIFFENER WEB WITH PLANKING SQUARING</t>
  </si>
  <si>
    <t>D40 - ADJUSTMENT FEMALE SOFT PATCH</t>
  </si>
  <si>
    <t>D40</t>
  </si>
  <si>
    <t>D41_2 - CHECK OF THE INITIAL ALIGNMENT</t>
  </si>
  <si>
    <t>D41_2</t>
  </si>
  <si>
    <t>D34_9-Inspection of frame height after machining</t>
  </si>
  <si>
    <t>D34_9</t>
  </si>
  <si>
    <t>D36B_2 - JOINING FRAME SPACE LENGTH AFTER COOLING</t>
  </si>
  <si>
    <t>D36B_3 - OFFSET OF THE JOINT AFTER COOLING</t>
  </si>
  <si>
    <t>D33_3-Flange element squareness inspection</t>
  </si>
  <si>
    <t>D33_3</t>
  </si>
  <si>
    <t>D36B_3 - OFFSET OF THE JOINT AT COLD</t>
  </si>
  <si>
    <t>D36E_2 - WEB/PLANKING SQUARENESS INSPECTION</t>
  </si>
  <si>
    <t>D36F - VERTICALITY OF SUB-SECTIONS ENDS</t>
  </si>
  <si>
    <t>D35_12-Marking of butt 64 points after machining</t>
  </si>
  <si>
    <t>D35_15-Frame height for machined strake integration</t>
  </si>
  <si>
    <t>D35_1-FRAME SLOTTING IN</t>
  </si>
  <si>
    <t>D35_8-LENGTH OF THE FRAME SPACES BEFORE TACK WELDING (EXCEPT</t>
  </si>
  <si>
    <t>D35C-MANUFACTURING CHECKS OF SUBSECTIONS - AFTER FRAMES M…</t>
  </si>
  <si>
    <t>D35C-</t>
  </si>
  <si>
    <t>D36B_1 - JOINT CLEARANCE AT COLD</t>
  </si>
  <si>
    <t>D89_3 - POSITION DIMENSIONAL CHECKS OF THE BULKHEADS...</t>
  </si>
  <si>
    <t>D89_4 - DIMENSIONAL CHECKS (SKIN SHAPE CONTINUITY)</t>
  </si>
  <si>
    <t>D93 Insp of the position of the guide slides</t>
  </si>
  <si>
    <t>D94_04 - INSPECTION OF TRACINGS FOR PASSAGE AC30037</t>
  </si>
  <si>
    <t>D94_21 - INSPECTION OF THE CENTERING OF REAMING BAR</t>
  </si>
  <si>
    <t>D80_4 - INSPECTION OF THE MACHINED DIAMETERS</t>
  </si>
  <si>
    <t>D80_6 - INSPECTION OF THE BEVEL MACHINING</t>
  </si>
  <si>
    <t>D95_10 - CHECK THE POSITION, ORIENTATION AND VERTICALITY...</t>
  </si>
  <si>
    <t>D95_13 - CHECK THE POSITION OF THE SNORTING MAST COLLAR</t>
  </si>
  <si>
    <t>D95_17 - CHECK THE CLEARANCE BETWEEN THE DETECTOR...</t>
  </si>
  <si>
    <t>D95_20 - CHECK THE POSITION, ORIENTATION AND VERTICALITY...</t>
  </si>
  <si>
    <t>D81 - MANUFACTURING INSPECTION OF THE FEMALE SOFT PATCH</t>
  </si>
  <si>
    <t>D81_10 - MOUNTING OF THE TWO HALF COAMINGS PRIOR TO WELDING</t>
  </si>
  <si>
    <t>D81_11 - INSPECTION OF COAMING REFERENCE MARKINGS</t>
  </si>
  <si>
    <t>D95_30 - CHECK THE POSITION, ORIENTATION AND VERTICALITY...</t>
  </si>
  <si>
    <t>D95_37 - CHECK THE ORIENTATION, POSITION AND CENTRING...</t>
  </si>
  <si>
    <t>D81_14 - FLANK DEFLECTION INSPECTION</t>
  </si>
  <si>
    <t>D81_15 - THICKNESS INSPECTION PRIOR TO MACHINING</t>
  </si>
  <si>
    <t>D81_22-INSP OF THE SLOPE AND PERPENDICULARITY OF THE FACES</t>
  </si>
  <si>
    <t>D81_23 - INSPECT THE MARKING OF THE CONTOURS AND BEVELS</t>
  </si>
  <si>
    <t>D81_31 - CHECK THE TEMPLATE DIMENSIONS</t>
  </si>
  <si>
    <t>D81_32 - CHECK THE TEMPLATE POSITION</t>
  </si>
  <si>
    <t>D81_33 - CHECK THE MARKING OF THE 2 DRILL HOLES</t>
  </si>
  <si>
    <t>D81_51 - INSPECTION OF THE LOWER EDGE</t>
  </si>
  <si>
    <t>D82_15 - MEASURE THE SLOPE OF THE FACES</t>
  </si>
  <si>
    <t>D82_19 - CHECK OF THE FORM OF THE FRAME FLANGES</t>
  </si>
  <si>
    <t>D96_09-CHECK THE PENETRATION OF THE PINTLE</t>
  </si>
  <si>
    <t>D82_34 - PLANKING POSITION CHECK</t>
  </si>
  <si>
    <t>D82_55 - INSPECTION OF THE MARKING...</t>
  </si>
  <si>
    <t>D96_44-CHECK THAT THE BOLTING MATERIAL IS LOCKED AND TIGH</t>
  </si>
  <si>
    <t>D96_48-CHECK THE PINTLE CONE PENETRATION</t>
  </si>
  <si>
    <t>D83 - VOLUME TEMPLATES MANUFACTURING INSPECTIONS</t>
  </si>
  <si>
    <t>D96_67-CHECK THE ORIENTATION OF THE BLADES...</t>
  </si>
  <si>
    <t>E07-INSP OF THE CONTINUITY AND INSULATION ...</t>
  </si>
  <si>
    <t>E07</t>
  </si>
  <si>
    <t>E05-INSPECTION OF THE GROUNDING OF THE NON WELDED FRAMES</t>
  </si>
  <si>
    <t>E05</t>
  </si>
  <si>
    <t>F07-ASSEMBLY INSPECTIONS</t>
  </si>
  <si>
    <t>F07</t>
  </si>
  <si>
    <t>I03 - INSPECTION OF THE DUCT INSULATION INSIDE/OUTSIDE</t>
  </si>
  <si>
    <t>I03</t>
  </si>
  <si>
    <t>I05-ANTI-CONDENSATION COATING INSPECTION</t>
  </si>
  <si>
    <t>I05</t>
  </si>
  <si>
    <t>I10 - DIESEL EXHAUSTS COATINGS INSPECTIONS</t>
  </si>
  <si>
    <t>I10</t>
  </si>
  <si>
    <t>L02 - WEIGHING OF PRESSURE HULL</t>
  </si>
  <si>
    <t>L02</t>
  </si>
  <si>
    <t>L02-Subsection Weighing</t>
  </si>
  <si>
    <t>M05 - PIPE LINE INSPECTION</t>
  </si>
  <si>
    <t>M05</t>
  </si>
  <si>
    <t>M02 - INSPECTION OF GLAVANIZED FLANGES</t>
  </si>
  <si>
    <t>M02</t>
  </si>
  <si>
    <t>MS02_2-CRUSHING AND COMPLIANCE CHECK OF THE ASSEMBLY</t>
  </si>
  <si>
    <t>MS01_2-INSP OF THE TIGHTENING TORQUE OF THE RETAINING SCREWS</t>
  </si>
  <si>
    <t>MS01_2</t>
  </si>
  <si>
    <t>PC04 - ACCEPTANCE INSPECTION</t>
  </si>
  <si>
    <t>PC05 - INSPECTION BEFORE PREPREG CURING</t>
  </si>
  <si>
    <t>SMB-200017 BEFORE WELDING</t>
  </si>
  <si>
    <t>SMB-200017 GRINDING</t>
  </si>
  <si>
    <t>SMB-200017 DURING FILET WELDING</t>
  </si>
  <si>
    <t>SMB-200017 JOINT MOUNTING FOR SEATINGS</t>
  </si>
  <si>
    <t>SMB-200017 NDT ULTRASOUND INSPECTION</t>
  </si>
  <si>
    <t>T01 - STAMPING TRACEABILITY INSPECTION</t>
  </si>
  <si>
    <t>SMB-200017 PREHEATING</t>
  </si>
  <si>
    <t>T01 - SAMPLING AND STAMPING INSPECTION</t>
  </si>
  <si>
    <t>TH01_1-Flatness of plate</t>
  </si>
  <si>
    <t>D52_28 - OPTICAL INSPECTION OF THE ALIGNMENT OF THE BLADES</t>
  </si>
  <si>
    <t>D52_7 - TEMPLATE POSITIONING INSPECTION</t>
  </si>
  <si>
    <t>D87_6 - TRANSVERSE AND VERTICAL POSITION AFTER WELDING OF..</t>
  </si>
  <si>
    <t>D59_10-INSP OF TE INSTALLATION OF THE SHEAR STUD RODS</t>
  </si>
  <si>
    <t/>
  </si>
  <si>
    <t>SIGNATURE</t>
  </si>
  <si>
    <t>NAME OF INSPECTION SUPERVISOR:</t>
  </si>
  <si>
    <t>ENTITY:</t>
  </si>
  <si>
    <t>SIGNATURE:</t>
  </si>
  <si>
    <t>DATE:</t>
  </si>
  <si>
    <t>INSPECTION SHEET No.</t>
  </si>
  <si>
    <t>CTC00805555</t>
  </si>
  <si>
    <t>TCE00512646</t>
  </si>
  <si>
    <t>INSPECTION DESCRIPTION</t>
  </si>
  <si>
    <t>SHIP</t>
  </si>
  <si>
    <t>ORDER No.</t>
  </si>
  <si>
    <t>JOB ORDER FILE</t>
  </si>
  <si>
    <t>53C</t>
  </si>
  <si>
    <t>COS-SMB-200120_E</t>
  </si>
  <si>
    <t>CC-200120-22310-13-001</t>
  </si>
  <si>
    <t>INSPECTION QUALIFICATION</t>
  </si>
  <si>
    <t>CONSTRUCTOR</t>
  </si>
  <si>
    <t>INSPECTION MODE</t>
  </si>
  <si>
    <t>QC</t>
  </si>
  <si>
    <t>INSPECTION SUPERVISOR</t>
  </si>
  <si>
    <t>ACCEPTANCE CRITERIA</t>
  </si>
  <si>
    <t>SMB-030610 / SMB-002522</t>
  </si>
  <si>
    <t>SCOPE OF INSPECTION</t>
  </si>
  <si>
    <t>100</t>
  </si>
  <si>
    <t>OBSERVATIONS:</t>
  </si>
  <si>
    <t>ELEMENTS TO BE INSPECTED</t>
  </si>
  <si>
    <t>No. OF INSPECTION RECORD</t>
  </si>
  <si>
    <t>NO. OF INSPECTION</t>
  </si>
  <si>
    <t>CONFORM</t>
  </si>
  <si>
    <t>NCR / RO Nº</t>
  </si>
  <si>
    <t>Y</t>
  </si>
  <si>
    <t>N</t>
  </si>
  <si>
    <t>53C-SC4-BT1-PD</t>
  </si>
  <si>
    <t>CTE00805556</t>
  </si>
  <si>
    <t>53C-CL105-EL121</t>
  </si>
  <si>
    <t>53C-CL105-EL122</t>
  </si>
  <si>
    <t>53C-CL105-EL131</t>
  </si>
  <si>
    <t>INSPECTION SHEET CLOSURE</t>
  </si>
  <si>
    <t>/</t>
  </si>
  <si>
    <t>1</t>
  </si>
  <si>
    <t>CP1-1 : Quality inspection of the surface preparation work</t>
  </si>
  <si>
    <t>SMB-030610</t>
  </si>
  <si>
    <t>A: Identification</t>
  </si>
  <si>
    <t>Inspection request N°:</t>
  </si>
  <si>
    <t>Job Order technician's name:</t>
  </si>
  <si>
    <t>Order N° (issue):</t>
  </si>
  <si>
    <t>Manufacturing or installation order N° (issue):</t>
  </si>
  <si>
    <t>Ship:</t>
  </si>
  <si>
    <t>MANUFACTURING OF FORWARD BATTERY COMPARTMENT</t>
  </si>
  <si>
    <t>Designation of the product and production phase:</t>
  </si>
  <si>
    <t>53C-SC4-BT1-PD, 53C-CL105-EL121, 53C-CL105-EL122, 53C-CL105-EL131</t>
  </si>
  <si>
    <t>Critical surface:</t>
  </si>
  <si>
    <t>Qualification of the operators: Complete (M)</t>
  </si>
  <si>
    <t>NO</t>
  </si>
  <si>
    <t>Yes</t>
  </si>
  <si>
    <t>No</t>
  </si>
  <si>
    <t>B: Lifting of hold points (X)</t>
  </si>
  <si>
    <t>INSPECTOR</t>
  </si>
  <si>
    <t>Remarks</t>
  </si>
  <si>
    <t>Name - Date - Signature</t>
  </si>
  <si>
    <t>Anomaly processing sheet</t>
  </si>
  <si>
    <t>Plate preparation (D)</t>
  </si>
  <si>
    <t>X</t>
  </si>
  <si>
    <t>Surface Preparation (H,I,J)</t>
  </si>
  <si>
    <t>C: Designation of measuring instruments</t>
  </si>
  <si>
    <t>Metrology N°</t>
  </si>
  <si>
    <t>Validity Date</t>
  </si>
  <si>
    <t>Kit Teste Poeira</t>
  </si>
  <si>
    <t>Termo-Higrômetro</t>
  </si>
  <si>
    <t>Termômetro Contato</t>
  </si>
  <si>
    <t>Comparador Padrão Rugosidade</t>
  </si>
  <si>
    <t>Condutivímetro Multi 340</t>
  </si>
  <si>
    <t>D: Acceptance of plating preparation</t>
  </si>
  <si>
    <t>SMB-002522</t>
  </si>
  <si>
    <t>Level required (X)</t>
  </si>
  <si>
    <t>C</t>
  </si>
  <si>
    <t>NC</t>
  </si>
  <si>
    <t>P1</t>
  </si>
  <si>
    <t>Name:</t>
  </si>
  <si>
    <t>LEVELP2</t>
  </si>
  <si>
    <t>P2</t>
  </si>
  <si>
    <t>Date:</t>
  </si>
  <si>
    <t>P3</t>
  </si>
  <si>
    <t>Signature:</t>
  </si>
  <si>
    <t>ACCEPTANCE OF SURFACE PREPARATION WORK</t>
  </si>
  <si>
    <t>E: Check for no greasy matter</t>
  </si>
  <si>
    <t>Required</t>
  </si>
  <si>
    <t>SMB-326400</t>
  </si>
  <si>
    <t>Type of test:</t>
  </si>
  <si>
    <t>F: Level of care</t>
  </si>
  <si>
    <t>Complete stripping of coated or uncoated surfaces. SMB-326396</t>
  </si>
  <si>
    <t>LEVELSA2 1/2</t>
  </si>
  <si>
    <t>Sa1</t>
  </si>
  <si>
    <t>Sa2</t>
  </si>
  <si>
    <t>Sa2 1/2</t>
  </si>
  <si>
    <t>Sa3</t>
  </si>
  <si>
    <t>ST2</t>
  </si>
  <si>
    <t>ST3</t>
  </si>
  <si>
    <t>Local stripping of damaged protection SMB-326396</t>
  </si>
  <si>
    <t>PSa2</t>
  </si>
  <si>
    <t>PSa2 1/2</t>
  </si>
  <si>
    <t>PSa3</t>
  </si>
  <si>
    <t>PMA</t>
  </si>
  <si>
    <t>PST2</t>
  </si>
  <si>
    <t>PST3</t>
  </si>
  <si>
    <t>G: Surface state</t>
  </si>
  <si>
    <t>Comparator G: irregular grains SMB-326395</t>
  </si>
  <si>
    <t xml:space="preserve">Ry5 measured:
</t>
  </si>
  <si>
    <t>Medium G→ 60μm ≤Ry5 &lt;100μm</t>
  </si>
  <si>
    <t>M</t>
  </si>
  <si>
    <t>Fine</t>
  </si>
  <si>
    <t>Medium</t>
  </si>
  <si>
    <t>Coarse</t>
  </si>
  <si>
    <t>Comparator S: spherical or nodular grains SMB-326395</t>
  </si>
  <si>
    <t>H: Surface preparation</t>
  </si>
  <si>
    <t>I: Dust. SMB-326399</t>
  </si>
  <si>
    <t>LEVEL REQUIRED</t>
  </si>
  <si>
    <t>- Quantity ≤ 2</t>
  </si>
  <si>
    <t>Sign:</t>
  </si>
  <si>
    <t>- Dimension ≤ 2</t>
  </si>
  <si>
    <t>ASSESSMENT OF DEGREE OF DUST REMOVAL</t>
  </si>
  <si>
    <t>SPECIMEN:</t>
  </si>
  <si>
    <t>SAMPLING</t>
  </si>
  <si>
    <t>LOCATION</t>
  </si>
  <si>
    <t>J: Soluble salts. SMB-326398</t>
  </si>
  <si>
    <t>1st Reading</t>
  </si>
  <si>
    <t>2nd Reading</t>
  </si>
  <si>
    <t>3rd Reading</t>
  </si>
  <si>
    <t>4th Reading</t>
  </si>
  <si>
    <t>Location</t>
  </si>
  <si>
    <t>Initial conductivity C1 =</t>
  </si>
  <si>
    <t>μS/cm</t>
  </si>
  <si>
    <t>Measured conductivity (after injection) C2 =</t>
  </si>
  <si>
    <t>Result obtained (C2-C1) x 0.6 = P =</t>
  </si>
  <si>
    <t>μg/cm2</t>
  </si>
  <si>
    <t>INSPECTOR:</t>
  </si>
  <si>
    <t>7</t>
  </si>
  <si>
    <t>CQ</t>
  </si>
  <si>
    <t>Bruno M. L. Ferreira Amancio</t>
  </si>
  <si>
    <t>Inspetor de Pintura Nível - I</t>
  </si>
  <si>
    <t>ABRACO SNQC - CP N0563</t>
  </si>
  <si>
    <t>Corpo Técnico da Marinha</t>
  </si>
  <si>
    <t>INC - Itaguai Construções Navais S/A</t>
  </si>
  <si>
    <t>_____</t>
  </si>
  <si>
    <t>__</t>
  </si>
  <si>
    <t>____</t>
  </si>
  <si>
    <t>NAME_INSPECTOR</t>
  </si>
  <si>
    <t>CODE_INSPECTOR</t>
  </si>
  <si>
    <t>N / A</t>
  </si>
  <si>
    <t>Bruno M. L. Ferreira Amancio
Inspetor de Pintura Nível - I</t>
  </si>
  <si>
    <t>Aprovado na Inspeção Visual / Water Sprayed</t>
  </si>
  <si>
    <r>
      <rPr>
        <b/>
        <sz val="9"/>
        <color rgb="FF85010A"/>
        <rFont val="Calibri"/>
        <family val="2"/>
      </rPr>
      <t>Bruno M. L. Ferreira Amancio</t>
    </r>
    <r>
      <rPr>
        <b/>
        <sz val="10"/>
        <color rgb="FF85010A"/>
        <rFont val="Calibri"/>
        <family val="2"/>
      </rPr>
      <t xml:space="preserve">
</t>
    </r>
    <r>
      <rPr>
        <b/>
        <sz val="7"/>
        <color rgb="FF85010A"/>
        <rFont val="Calibri"/>
        <family val="2"/>
      </rPr>
      <t>Inspetor de Pintura Nível - I
ABRACO SNQC - CP N0563
Corpo Técnico da Marinha
INC - Itaguai Construções Navais S/A</t>
    </r>
  </si>
  <si>
    <t>INPECTOR_TYPE</t>
  </si>
  <si>
    <t>Alexsandro M. Oliveira</t>
  </si>
  <si>
    <t>ABRACO SNQC - CP N0555</t>
  </si>
  <si>
    <t>ABRACO SNQC - CP N0777</t>
  </si>
  <si>
    <t>PASSWORD</t>
  </si>
  <si>
    <r>
      <rPr>
        <b/>
        <sz val="8"/>
        <color rgb="FF85010A"/>
        <rFont val="Calibri"/>
        <family val="2"/>
        <scheme val="minor"/>
      </rPr>
      <t>Bruno M. L. Ferreira Amancio</t>
    </r>
    <r>
      <rPr>
        <b/>
        <sz val="7"/>
        <color rgb="FF85010A"/>
        <rFont val="Calibri"/>
        <family val="2"/>
        <scheme val="minor"/>
      </rPr>
      <t xml:space="preserve">
Inspetor de Pintura Nível - I</t>
    </r>
  </si>
  <si>
    <r>
      <rPr>
        <b/>
        <sz val="8"/>
        <color rgb="FF85010A"/>
        <rFont val="Calibri"/>
        <family val="2"/>
        <scheme val="minor"/>
      </rPr>
      <t>Alexsandro M. Oliveira</t>
    </r>
    <r>
      <rPr>
        <b/>
        <sz val="7"/>
        <color rgb="FF85010A"/>
        <rFont val="Calibri"/>
        <family val="2"/>
        <scheme val="minor"/>
      </rPr>
      <t xml:space="preserve">
Inspetor de Pintura Nível - I</t>
    </r>
  </si>
  <si>
    <t>Bruno M. L. Ferreira Amancio
Inspetor de Pintura Nível - I
10/12/2020</t>
  </si>
  <si>
    <t>Cordenador da Quaidade - 00400889</t>
  </si>
  <si>
    <t>Cordenador da Quaidade - 00500555</t>
  </si>
  <si>
    <t>admin</t>
  </si>
  <si>
    <t>insp</t>
  </si>
  <si>
    <t>MARINHA_CORPO</t>
  </si>
  <si>
    <t>MARINHA_ICN</t>
  </si>
  <si>
    <t>ICN - Itaguai Construções Navais S/A</t>
  </si>
  <si>
    <t>Corpo Técnico da MarinhaA</t>
  </si>
  <si>
    <t>STAMP1</t>
  </si>
  <si>
    <t>STAMP2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</si>
</sst>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8"/>
      <name val="Calibri"/>
      <family val="2"/>
    </font>
    <font>
      <b/>
      <u/>
      <sz val="11"/>
      <color indexed="8"/>
      <name val="Calibri"/>
      <family val="2"/>
    </font>
    <font>
      <sz val="9"/>
      <color indexed="8"/>
      <name val="Calibri"/>
      <family val="2"/>
    </font>
    <font>
      <b/>
      <i/>
      <sz val="11"/>
      <color indexed="8"/>
      <name val="Calibri"/>
      <family val="2"/>
    </font>
    <font>
      <i/>
      <sz val="11"/>
      <color indexed="8"/>
      <name val="Calibri"/>
      <family val="2"/>
    </font>
    <font>
      <b/>
      <u/>
      <sz val="9"/>
      <color indexed="8"/>
      <name val="Calibri"/>
      <family val="2"/>
    </font>
    <font>
      <sz val="8"/>
      <color indexed="8"/>
      <name val="Calibri"/>
      <family val="2"/>
    </font>
    <font>
      <i/>
      <u/>
      <sz val="9"/>
      <color indexed="8"/>
      <name val="Calibri"/>
      <family val="2"/>
    </font>
    <font>
      <b/>
      <sz val="9"/>
      <color indexed="8"/>
      <name val="Calibri"/>
      <family val="2"/>
    </font>
    <font>
      <b/>
      <u/>
      <sz val="8"/>
      <color indexed="8"/>
      <name val="Calibri"/>
      <family val="2"/>
    </font>
    <font>
      <b/>
      <u/>
      <sz val="10"/>
      <color indexed="8"/>
      <name val="Calibri"/>
      <family val="2"/>
    </font>
    <font>
      <b/>
      <sz val="18"/>
      <color rgb="FF85010A"/>
      <name val="Calibri"/>
      <family val="2"/>
    </font>
    <font>
      <sz val="14"/>
      <color rgb="FF85010A"/>
      <name val="Calibri"/>
      <family val="2"/>
    </font>
    <font>
      <sz val="10"/>
      <color rgb="FF85010A"/>
      <name val="Calibri"/>
      <family val="2"/>
    </font>
    <font>
      <sz val="11"/>
      <color rgb="FF85010A"/>
      <name val="Calibri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85010A"/>
      <name val="Calibri"/>
      <family val="2"/>
    </font>
    <font>
      <b/>
      <sz val="12"/>
      <color rgb="FF85010A"/>
      <name val="Calibri"/>
      <family val="2"/>
    </font>
    <font>
      <b/>
      <sz val="11"/>
      <color rgb="FF85010A"/>
      <name val="Calibri"/>
      <family val="2"/>
    </font>
    <font>
      <b/>
      <sz val="10"/>
      <color rgb="FF85010A"/>
      <name val="Calibri"/>
      <family val="2"/>
    </font>
    <font>
      <b/>
      <sz val="7"/>
      <color rgb="FF85010A"/>
      <name val="Calibri"/>
      <family val="2"/>
    </font>
    <font>
      <b/>
      <sz val="11"/>
      <color rgb="FF85010A"/>
      <name val="Calibri"/>
      <family val="2"/>
      <scheme val="minor"/>
    </font>
    <font>
      <b/>
      <sz val="7"/>
      <color rgb="FF85010A"/>
      <name val="Calibri"/>
      <family val="2"/>
      <scheme val="minor"/>
    </font>
    <font>
      <b/>
      <sz val="8"/>
      <color rgb="FF85010A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85010A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</cellStyleXfs>
  <cellXfs count="481">
    <xf numFmtId="0" fontId="0" fillId="0" borderId="0" xfId="0"/>
    <xf numFmtId="0" fontId="2" fillId="0" borderId="0" xfId="0" applyNumberFormat="1" applyFont="1" applyFill="1" applyBorder="1" applyAlignment="1" applyProtection="1"/>
    <xf numFmtId="0" fontId="0" fillId="0" borderId="0" xfId="0" applyBorder="1"/>
    <xf numFmtId="0" fontId="2" fillId="0" borderId="9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2" fillId="0" borderId="10" xfId="0" applyNumberFormat="1" applyFont="1" applyFill="1" applyBorder="1" applyAlignment="1" applyProtection="1"/>
    <xf numFmtId="0" fontId="2" fillId="0" borderId="11" xfId="0" applyNumberFormat="1" applyFont="1" applyFill="1" applyBorder="1" applyAlignment="1" applyProtection="1"/>
    <xf numFmtId="0" fontId="2" fillId="0" borderId="12" xfId="0" applyNumberFormat="1" applyFont="1" applyFill="1" applyBorder="1" applyAlignment="1" applyProtection="1">
      <alignment vertical="center"/>
    </xf>
    <xf numFmtId="0" fontId="2" fillId="0" borderId="4" xfId="0" applyNumberFormat="1" applyFont="1" applyFill="1" applyBorder="1" applyAlignment="1" applyProtection="1">
      <alignment vertical="center"/>
    </xf>
    <xf numFmtId="0" fontId="2" fillId="0" borderId="13" xfId="0" applyNumberFormat="1" applyFont="1" applyFill="1" applyBorder="1" applyAlignment="1" applyProtection="1">
      <alignment vertical="center"/>
    </xf>
    <xf numFmtId="0" fontId="2" fillId="0" borderId="14" xfId="0" applyNumberFormat="1" applyFont="1" applyFill="1" applyBorder="1" applyAlignment="1" applyProtection="1">
      <alignment vertical="center"/>
    </xf>
    <xf numFmtId="0" fontId="2" fillId="0" borderId="15" xfId="0" applyNumberFormat="1" applyFont="1" applyFill="1" applyBorder="1" applyAlignment="1" applyProtection="1">
      <alignment vertical="center"/>
    </xf>
    <xf numFmtId="0" fontId="2" fillId="0" borderId="16" xfId="0" applyNumberFormat="1" applyFont="1" applyFill="1" applyBorder="1" applyAlignment="1" applyProtection="1">
      <alignment vertical="center"/>
    </xf>
    <xf numFmtId="0" fontId="3" fillId="0" borderId="18" xfId="0" applyNumberFormat="1" applyFont="1" applyFill="1" applyBorder="1" applyAlignment="1" applyProtection="1">
      <alignment vertical="center"/>
    </xf>
    <xf numFmtId="0" fontId="3" fillId="0" borderId="19" xfId="0" applyNumberFormat="1" applyFont="1" applyFill="1" applyBorder="1" applyAlignment="1" applyProtection="1">
      <alignment vertical="center"/>
    </xf>
    <xf numFmtId="0" fontId="3" fillId="0" borderId="20" xfId="0" applyNumberFormat="1" applyFont="1" applyFill="1" applyBorder="1" applyAlignment="1" applyProtection="1">
      <alignment vertical="center"/>
    </xf>
    <xf numFmtId="0" fontId="3" fillId="0" borderId="9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3" fillId="0" borderId="10" xfId="0" applyNumberFormat="1" applyFont="1" applyFill="1" applyBorder="1" applyAlignment="1" applyProtection="1">
      <alignment vertical="center"/>
    </xf>
    <xf numFmtId="0" fontId="3" fillId="0" borderId="12" xfId="0" applyNumberFormat="1" applyFont="1" applyFill="1" applyBorder="1" applyAlignment="1" applyProtection="1">
      <alignment vertical="center"/>
    </xf>
    <xf numFmtId="0" fontId="3" fillId="0" borderId="4" xfId="0" applyNumberFormat="1" applyFont="1" applyFill="1" applyBorder="1" applyAlignment="1" applyProtection="1">
      <alignment vertical="center"/>
    </xf>
    <xf numFmtId="0" fontId="3" fillId="0" borderId="13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wrapText="1"/>
    </xf>
    <xf numFmtId="0" fontId="2" fillId="0" borderId="9" xfId="0" applyNumberFormat="1" applyFont="1" applyFill="1" applyBorder="1" applyAlignment="1" applyProtection="1"/>
    <xf numFmtId="0" fontId="2" fillId="0" borderId="12" xfId="0" applyNumberFormat="1" applyFont="1" applyFill="1" applyBorder="1" applyAlignment="1" applyProtection="1"/>
    <xf numFmtId="0" fontId="2" fillId="0" borderId="4" xfId="0" applyNumberFormat="1" applyFont="1" applyFill="1" applyBorder="1" applyAlignment="1" applyProtection="1"/>
    <xf numFmtId="0" fontId="2" fillId="0" borderId="23" xfId="0" applyNumberFormat="1" applyFont="1" applyFill="1" applyBorder="1" applyAlignment="1" applyProtection="1"/>
    <xf numFmtId="0" fontId="2" fillId="0" borderId="24" xfId="0" applyNumberFormat="1" applyFont="1" applyFill="1" applyBorder="1" applyAlignment="1" applyProtection="1"/>
    <xf numFmtId="0" fontId="2" fillId="0" borderId="25" xfId="0" applyNumberFormat="1" applyFont="1" applyFill="1" applyBorder="1" applyAlignment="1" applyProtection="1"/>
    <xf numFmtId="0" fontId="6" fillId="0" borderId="8" xfId="0" applyNumberFormat="1" applyFont="1" applyFill="1" applyBorder="1" applyAlignment="1" applyProtection="1">
      <alignment vertical="center" wrapText="1"/>
    </xf>
    <xf numFmtId="0" fontId="6" fillId="0" borderId="1" xfId="0" applyNumberFormat="1" applyFont="1" applyFill="1" applyBorder="1" applyAlignment="1" applyProtection="1">
      <alignment vertical="center" wrapText="1"/>
    </xf>
    <xf numFmtId="0" fontId="6" fillId="0" borderId="7" xfId="0" applyNumberFormat="1" applyFont="1" applyFill="1" applyBorder="1" applyAlignment="1" applyProtection="1">
      <alignment vertical="center" wrapText="1"/>
    </xf>
    <xf numFmtId="0" fontId="6" fillId="0" borderId="11" xfId="0" applyNumberFormat="1" applyFont="1" applyFill="1" applyBorder="1" applyAlignment="1" applyProtection="1">
      <alignment vertical="center" wrapText="1"/>
    </xf>
    <xf numFmtId="0" fontId="6" fillId="0" borderId="10" xfId="0" applyNumberFormat="1" applyFont="1" applyFill="1" applyBorder="1" applyAlignment="1" applyProtection="1">
      <alignment vertical="center" wrapText="1"/>
    </xf>
    <xf numFmtId="0" fontId="6" fillId="0" borderId="0" xfId="0" applyNumberFormat="1" applyFont="1" applyFill="1" applyBorder="1" applyAlignment="1" applyProtection="1">
      <alignment vertical="center" wrapText="1"/>
    </xf>
    <xf numFmtId="0" fontId="6" fillId="0" borderId="14" xfId="0" applyNumberFormat="1" applyFont="1" applyFill="1" applyBorder="1" applyAlignment="1" applyProtection="1">
      <alignment vertical="center" wrapText="1"/>
    </xf>
    <xf numFmtId="0" fontId="6" fillId="0" borderId="4" xfId="0" applyNumberFormat="1" applyFont="1" applyFill="1" applyBorder="1" applyAlignment="1" applyProtection="1">
      <alignment vertical="center" wrapText="1"/>
    </xf>
    <xf numFmtId="0" fontId="6" fillId="0" borderId="13" xfId="0" applyNumberFormat="1" applyFont="1" applyFill="1" applyBorder="1" applyAlignment="1" applyProtection="1">
      <alignment vertical="center" wrapText="1"/>
    </xf>
    <xf numFmtId="0" fontId="2" fillId="0" borderId="8" xfId="0" applyNumberFormat="1" applyFont="1" applyFill="1" applyBorder="1" applyAlignment="1" applyProtection="1"/>
    <xf numFmtId="0" fontId="2" fillId="0" borderId="7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9" fillId="0" borderId="1" xfId="0" applyNumberFormat="1" applyFont="1" applyFill="1" applyBorder="1" applyAlignment="1" applyProtection="1">
      <alignment horizontal="left"/>
    </xf>
    <xf numFmtId="0" fontId="9" fillId="0" borderId="7" xfId="0" applyNumberFormat="1" applyFont="1" applyFill="1" applyBorder="1" applyAlignment="1" applyProtection="1">
      <alignment horizontal="left"/>
    </xf>
    <xf numFmtId="0" fontId="9" fillId="0" borderId="0" xfId="0" applyNumberFormat="1" applyFont="1" applyFill="1" applyBorder="1" applyAlignment="1" applyProtection="1">
      <alignment horizontal="left"/>
    </xf>
    <xf numFmtId="0" fontId="9" fillId="0" borderId="10" xfId="0" applyNumberFormat="1" applyFont="1" applyFill="1" applyBorder="1" applyAlignment="1" applyProtection="1">
      <alignment horizontal="left"/>
    </xf>
    <xf numFmtId="0" fontId="2" fillId="3" borderId="0" xfId="0" applyNumberFormat="1" applyFont="1" applyFill="1" applyBorder="1" applyAlignment="1" applyProtection="1"/>
    <xf numFmtId="0" fontId="6" fillId="0" borderId="11" xfId="0" applyNumberFormat="1" applyFont="1" applyFill="1" applyBorder="1" applyAlignment="1" applyProtection="1"/>
    <xf numFmtId="0" fontId="6" fillId="0" borderId="0" xfId="0" applyNumberFormat="1" applyFont="1" applyFill="1" applyBorder="1" applyAlignment="1" applyProtection="1"/>
    <xf numFmtId="0" fontId="6" fillId="0" borderId="10" xfId="0" applyNumberFormat="1" applyFont="1" applyFill="1" applyBorder="1" applyAlignment="1" applyProtection="1"/>
    <xf numFmtId="0" fontId="6" fillId="0" borderId="34" xfId="0" applyNumberFormat="1" applyFont="1" applyFill="1" applyBorder="1" applyAlignment="1" applyProtection="1">
      <alignment horizontal="center" vertical="center"/>
    </xf>
    <xf numFmtId="0" fontId="6" fillId="0" borderId="14" xfId="0" applyNumberFormat="1" applyFont="1" applyFill="1" applyBorder="1" applyAlignment="1" applyProtection="1"/>
    <xf numFmtId="0" fontId="6" fillId="0" borderId="4" xfId="0" applyNumberFormat="1" applyFont="1" applyFill="1" applyBorder="1" applyAlignment="1" applyProtection="1"/>
    <xf numFmtId="0" fontId="6" fillId="0" borderId="13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>
      <alignment vertical="center" wrapText="1"/>
    </xf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vertical="center" wrapText="1"/>
    </xf>
    <xf numFmtId="0" fontId="2" fillId="0" borderId="14" xfId="0" applyNumberFormat="1" applyFont="1" applyFill="1" applyBorder="1" applyAlignment="1" applyProtection="1"/>
    <xf numFmtId="0" fontId="2" fillId="0" borderId="13" xfId="0" applyNumberFormat="1" applyFont="1" applyFill="1" applyBorder="1" applyAlignment="1" applyProtection="1"/>
    <xf numFmtId="0" fontId="2" fillId="0" borderId="1" xfId="0" applyNumberFormat="1" applyFont="1" applyFill="1" applyBorder="1" applyAlignment="1" applyProtection="1"/>
    <xf numFmtId="0" fontId="2" fillId="0" borderId="34" xfId="0" applyNumberFormat="1" applyFont="1" applyFill="1" applyBorder="1" applyAlignment="1" applyProtection="1">
      <alignment horizontal="center"/>
    </xf>
    <xf numFmtId="0" fontId="2" fillId="0" borderId="34" xfId="0" applyNumberFormat="1" applyFont="1" applyFill="1" applyBorder="1" applyAlignment="1" applyProtection="1"/>
    <xf numFmtId="0" fontId="2" fillId="4" borderId="0" xfId="0" applyNumberFormat="1" applyFont="1" applyFill="1" applyBorder="1" applyAlignment="1" applyProtection="1"/>
    <xf numFmtId="0" fontId="9" fillId="0" borderId="0" xfId="0" applyNumberFormat="1" applyFont="1" applyFill="1" applyBorder="1" applyAlignment="1" applyProtection="1"/>
    <xf numFmtId="0" fontId="13" fillId="0" borderId="0" xfId="0" applyNumberFormat="1" applyFont="1" applyFill="1" applyBorder="1" applyAlignment="1" applyProtection="1">
      <alignment vertical="center" wrapText="1"/>
    </xf>
    <xf numFmtId="0" fontId="14" fillId="0" borderId="0" xfId="0" applyNumberFormat="1" applyFont="1" applyFill="1" applyBorder="1" applyAlignment="1" applyProtection="1">
      <alignment vertical="center" wrapText="1"/>
    </xf>
    <xf numFmtId="0" fontId="9" fillId="0" borderId="0" xfId="0" applyNumberFormat="1" applyFont="1" applyFill="1" applyBorder="1" applyAlignment="1" applyProtection="1">
      <alignment wrapText="1"/>
    </xf>
    <xf numFmtId="0" fontId="1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>
      <alignment vertical="center"/>
    </xf>
    <xf numFmtId="0" fontId="1" fillId="0" borderId="4" xfId="0" applyNumberFormat="1" applyFont="1" applyFill="1" applyBorder="1" applyAlignment="1" applyProtection="1"/>
    <xf numFmtId="0" fontId="1" fillId="0" borderId="4" xfId="0" applyNumberFormat="1" applyFont="1" applyFill="1" applyBorder="1" applyAlignment="1" applyProtection="1">
      <alignment vertical="center"/>
    </xf>
    <xf numFmtId="0" fontId="2" fillId="0" borderId="1" xfId="0" applyNumberFormat="1" applyFont="1" applyFill="1" applyBorder="1" applyAlignment="1" applyProtection="1">
      <alignment vertical="center"/>
    </xf>
    <xf numFmtId="0" fontId="1" fillId="0" borderId="11" xfId="0" applyNumberFormat="1" applyFont="1" applyFill="1" applyBorder="1" applyAlignment="1" applyProtection="1">
      <alignment horizontal="left"/>
    </xf>
    <xf numFmtId="0" fontId="1" fillId="0" borderId="0" xfId="0" applyNumberFormat="1" applyFont="1" applyFill="1" applyBorder="1" applyAlignment="1" applyProtection="1">
      <alignment horizontal="left"/>
    </xf>
    <xf numFmtId="0" fontId="10" fillId="0" borderId="34" xfId="0" applyNumberFormat="1" applyFont="1" applyFill="1" applyBorder="1" applyAlignment="1" applyProtection="1">
      <alignment horizontal="center" vertical="center"/>
    </xf>
    <xf numFmtId="0" fontId="10" fillId="0" borderId="34" xfId="0" applyNumberFormat="1" applyFont="1" applyFill="1" applyBorder="1" applyAlignment="1" applyProtection="1">
      <alignment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vertical="center"/>
    </xf>
    <xf numFmtId="0" fontId="2" fillId="0" borderId="11" xfId="0" applyNumberFormat="1" applyFont="1" applyFill="1" applyBorder="1" applyAlignment="1" applyProtection="1">
      <alignment vertical="center"/>
    </xf>
    <xf numFmtId="0" fontId="2" fillId="0" borderId="10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horizontal="right"/>
    </xf>
    <xf numFmtId="0" fontId="2" fillId="0" borderId="0" xfId="0" applyNumberFormat="1" applyFont="1" applyFill="1" applyBorder="1" applyAlignment="1" applyProtection="1">
      <alignment horizontal="left"/>
    </xf>
    <xf numFmtId="0" fontId="0" fillId="0" borderId="0" xfId="0" applyBorder="1" applyAlignment="1"/>
    <xf numFmtId="0" fontId="20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17" fillId="0" borderId="0" xfId="0" applyNumberFormat="1" applyFont="1" applyFill="1" applyBorder="1" applyAlignment="1" applyProtection="1"/>
    <xf numFmtId="0" fontId="17" fillId="0" borderId="0" xfId="0" applyNumberFormat="1" applyFont="1" applyFill="1" applyBorder="1" applyAlignment="1" applyProtection="1">
      <alignment vertical="center"/>
    </xf>
    <xf numFmtId="0" fontId="29" fillId="6" borderId="35" xfId="2" applyBorder="1"/>
    <xf numFmtId="0" fontId="29" fillId="5" borderId="35" xfId="1" applyBorder="1"/>
    <xf numFmtId="0" fontId="0" fillId="0" borderId="0" xfId="0" applyAlignment="1">
      <alignment wrapText="1"/>
    </xf>
    <xf numFmtId="14" fontId="0" fillId="0" borderId="0" xfId="0" applyNumberFormat="1"/>
    <xf numFmtId="0" fontId="3" fillId="0" borderId="21" xfId="0" applyNumberFormat="1" applyFont="1" applyFill="1" applyBorder="1" applyAlignment="1" applyProtection="1">
      <alignment horizontal="center" vertical="center"/>
    </xf>
    <xf numFmtId="0" fontId="3" fillId="0" borderId="19" xfId="0" applyNumberFormat="1" applyFont="1" applyFill="1" applyBorder="1" applyAlignment="1" applyProtection="1">
      <alignment horizontal="center" vertical="center"/>
    </xf>
    <xf numFmtId="0" fontId="3" fillId="0" borderId="20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10" xfId="0" applyNumberFormat="1" applyFont="1" applyFill="1" applyBorder="1" applyAlignment="1" applyProtection="1">
      <alignment horizontal="center" vertical="center"/>
    </xf>
    <xf numFmtId="0" fontId="3" fillId="0" borderId="14" xfId="0" applyNumberFormat="1" applyFont="1" applyFill="1" applyBorder="1" applyAlignment="1" applyProtection="1">
      <alignment horizontal="center" vertical="center"/>
    </xf>
    <xf numFmtId="0" fontId="3" fillId="0" borderId="4" xfId="0" applyNumberFormat="1" applyFont="1" applyFill="1" applyBorder="1" applyAlignment="1" applyProtection="1">
      <alignment horizontal="center" vertical="center"/>
    </xf>
    <xf numFmtId="0" fontId="3" fillId="0" borderId="13" xfId="0" applyNumberFormat="1" applyFont="1" applyFill="1" applyBorder="1" applyAlignment="1" applyProtection="1">
      <alignment horizontal="center" vertical="center"/>
    </xf>
    <xf numFmtId="0" fontId="3" fillId="0" borderId="21" xfId="0" applyNumberFormat="1" applyFont="1" applyFill="1" applyBorder="1" applyAlignment="1" applyProtection="1">
      <alignment horizontal="center" vertical="center" wrapText="1"/>
    </xf>
    <xf numFmtId="0" fontId="3" fillId="0" borderId="19" xfId="0" applyNumberFormat="1" applyFont="1" applyFill="1" applyBorder="1" applyAlignment="1" applyProtection="1">
      <alignment horizontal="center" vertical="center" wrapText="1"/>
    </xf>
    <xf numFmtId="0" fontId="3" fillId="0" borderId="20" xfId="0" applyNumberFormat="1" applyFont="1" applyFill="1" applyBorder="1" applyAlignment="1" applyProtection="1">
      <alignment horizontal="center" vertical="center" wrapText="1"/>
    </xf>
    <xf numFmtId="0" fontId="3" fillId="0" borderId="11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10" xfId="0" applyNumberFormat="1" applyFont="1" applyFill="1" applyBorder="1" applyAlignment="1" applyProtection="1">
      <alignment horizontal="center" vertical="center" wrapText="1"/>
    </xf>
    <xf numFmtId="0" fontId="3" fillId="0" borderId="14" xfId="0" applyNumberFormat="1" applyFont="1" applyFill="1" applyBorder="1" applyAlignment="1" applyProtection="1">
      <alignment horizontal="center" vertical="center" wrapText="1"/>
    </xf>
    <xf numFmtId="0" fontId="3" fillId="0" borderId="4" xfId="0" applyNumberFormat="1" applyFont="1" applyFill="1" applyBorder="1" applyAlignment="1" applyProtection="1">
      <alignment horizontal="center" vertical="center" wrapText="1"/>
    </xf>
    <xf numFmtId="0" fontId="3" fillId="0" borderId="13" xfId="0" applyNumberFormat="1" applyFont="1" applyFill="1" applyBorder="1" applyAlignment="1" applyProtection="1">
      <alignment horizontal="center" vertical="center" wrapText="1"/>
    </xf>
    <xf numFmtId="0" fontId="3" fillId="0" borderId="22" xfId="0" applyNumberFormat="1" applyFont="1" applyFill="1" applyBorder="1" applyAlignment="1" applyProtection="1">
      <alignment horizontal="center" vertical="center"/>
    </xf>
    <xf numFmtId="0" fontId="3" fillId="0" borderId="3" xfId="0" applyNumberFormat="1" applyFont="1" applyFill="1" applyBorder="1" applyAlignment="1" applyProtection="1">
      <alignment horizontal="center" vertical="center"/>
    </xf>
    <xf numFmtId="0" fontId="3" fillId="0" borderId="5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2" fillId="0" borderId="7" xfId="0" applyNumberFormat="1" applyFont="1" applyFill="1" applyBorder="1" applyAlignment="1" applyProtection="1">
      <alignment horizontal="center" vertical="center"/>
    </xf>
    <xf numFmtId="0" fontId="2" fillId="0" borderId="9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0" fontId="2" fillId="0" borderId="10" xfId="0" applyNumberFormat="1" applyFont="1" applyFill="1" applyBorder="1" applyAlignment="1" applyProtection="1">
      <alignment horizontal="center" vertical="center"/>
    </xf>
    <xf numFmtId="0" fontId="2" fillId="0" borderId="12" xfId="0" applyNumberFormat="1" applyFont="1" applyFill="1" applyBorder="1" applyAlignment="1" applyProtection="1">
      <alignment horizontal="center" vertical="center"/>
    </xf>
    <xf numFmtId="0" fontId="2" fillId="0" borderId="4" xfId="0" applyNumberFormat="1" applyFont="1" applyFill="1" applyBorder="1" applyAlignment="1" applyProtection="1">
      <alignment horizontal="center" vertical="center"/>
    </xf>
    <xf numFmtId="0" fontId="2" fillId="0" borderId="13" xfId="0" applyNumberFormat="1" applyFont="1" applyFill="1" applyBorder="1" applyAlignment="1" applyProtection="1">
      <alignment horizontal="center" vertical="center"/>
    </xf>
    <xf numFmtId="0" fontId="1" fillId="0" borderId="8" xfId="0" applyNumberFormat="1" applyFont="1" applyFill="1" applyBorder="1" applyAlignment="1" applyProtection="1">
      <alignment horizontal="center" vertical="center" wrapText="1"/>
    </xf>
    <xf numFmtId="0" fontId="1" fillId="0" borderId="1" xfId="0" applyNumberFormat="1" applyFont="1" applyFill="1" applyBorder="1" applyAlignment="1" applyProtection="1">
      <alignment horizontal="center" vertical="center" wrapText="1"/>
    </xf>
    <xf numFmtId="0" fontId="1" fillId="0" borderId="2" xfId="0" applyNumberFormat="1" applyFont="1" applyFill="1" applyBorder="1" applyAlignment="1" applyProtection="1">
      <alignment horizontal="center" vertical="center" wrapText="1"/>
    </xf>
    <xf numFmtId="0" fontId="1" fillId="0" borderId="11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Border="1" applyAlignment="1" applyProtection="1">
      <alignment horizontal="center" vertical="center" wrapText="1"/>
    </xf>
    <xf numFmtId="0" fontId="1" fillId="0" borderId="3" xfId="0" applyNumberFormat="1" applyFont="1" applyFill="1" applyBorder="1" applyAlignment="1" applyProtection="1">
      <alignment horizontal="center" vertical="center" wrapText="1"/>
    </xf>
    <xf numFmtId="0" fontId="1" fillId="0" borderId="14" xfId="0" applyNumberFormat="1" applyFont="1" applyFill="1" applyBorder="1" applyAlignment="1" applyProtection="1">
      <alignment horizontal="center" vertical="center" wrapText="1"/>
    </xf>
    <xf numFmtId="0" fontId="1" fillId="0" borderId="4" xfId="0" applyNumberFormat="1" applyFont="1" applyFill="1" applyBorder="1" applyAlignment="1" applyProtection="1">
      <alignment horizontal="center" vertical="center" wrapText="1"/>
    </xf>
    <xf numFmtId="0" fontId="1" fillId="0" borderId="5" xfId="0" applyNumberFormat="1" applyFont="1" applyFill="1" applyBorder="1" applyAlignment="1" applyProtection="1">
      <alignment horizontal="center" vertical="center" wrapText="1"/>
    </xf>
    <xf numFmtId="0" fontId="4" fillId="0" borderId="6" xfId="0" applyNumberFormat="1" applyFont="1" applyFill="1" applyBorder="1" applyAlignment="1" applyProtection="1">
      <alignment horizontal="center" vertical="top"/>
    </xf>
    <xf numFmtId="0" fontId="4" fillId="0" borderId="1" xfId="0" applyNumberFormat="1" applyFont="1" applyFill="1" applyBorder="1" applyAlignment="1" applyProtection="1">
      <alignment horizontal="center" vertical="top"/>
    </xf>
    <xf numFmtId="0" fontId="4" fillId="0" borderId="7" xfId="0" applyNumberFormat="1" applyFont="1" applyFill="1" applyBorder="1" applyAlignment="1" applyProtection="1">
      <alignment horizontal="center" vertical="top"/>
    </xf>
    <xf numFmtId="0" fontId="4" fillId="0" borderId="9" xfId="0" applyNumberFormat="1" applyFont="1" applyFill="1" applyBorder="1" applyAlignment="1" applyProtection="1">
      <alignment horizontal="center" vertical="top"/>
    </xf>
    <xf numFmtId="0" fontId="4" fillId="0" borderId="0" xfId="0" applyNumberFormat="1" applyFont="1" applyFill="1" applyBorder="1" applyAlignment="1" applyProtection="1">
      <alignment horizontal="center" vertical="top"/>
    </xf>
    <xf numFmtId="0" fontId="4" fillId="0" borderId="10" xfId="0" applyNumberFormat="1" applyFont="1" applyFill="1" applyBorder="1" applyAlignment="1" applyProtection="1">
      <alignment horizontal="center" vertical="top"/>
    </xf>
    <xf numFmtId="0" fontId="4" fillId="0" borderId="8" xfId="0" applyNumberFormat="1" applyFont="1" applyFill="1" applyBorder="1" applyAlignment="1" applyProtection="1">
      <alignment horizontal="center" vertical="top"/>
    </xf>
    <xf numFmtId="0" fontId="2" fillId="0" borderId="1" xfId="0" applyNumberFormat="1" applyFont="1" applyFill="1" applyBorder="1" applyAlignment="1" applyProtection="1">
      <alignment horizontal="center" vertical="top"/>
    </xf>
    <xf numFmtId="0" fontId="2" fillId="0" borderId="7" xfId="0" applyNumberFormat="1" applyFont="1" applyFill="1" applyBorder="1" applyAlignment="1" applyProtection="1">
      <alignment horizontal="center" vertical="top"/>
    </xf>
    <xf numFmtId="0" fontId="2" fillId="0" borderId="11" xfId="0" applyNumberFormat="1" applyFont="1" applyFill="1" applyBorder="1" applyAlignment="1" applyProtection="1">
      <alignment horizontal="center" vertical="top"/>
    </xf>
    <xf numFmtId="0" fontId="2" fillId="0" borderId="0" xfId="0" applyNumberFormat="1" applyFont="1" applyFill="1" applyBorder="1" applyAlignment="1" applyProtection="1">
      <alignment horizontal="center" vertical="top"/>
    </xf>
    <xf numFmtId="0" fontId="2" fillId="0" borderId="10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center" vertical="top"/>
    </xf>
    <xf numFmtId="0" fontId="2" fillId="0" borderId="3" xfId="0" applyNumberFormat="1" applyFont="1" applyFill="1" applyBorder="1" applyAlignment="1" applyProtection="1">
      <alignment horizontal="center" vertical="top"/>
    </xf>
    <xf numFmtId="0" fontId="4" fillId="0" borderId="1" xfId="0" applyNumberFormat="1" applyFont="1" applyFill="1" applyBorder="1" applyAlignment="1" applyProtection="1">
      <alignment horizontal="center" vertical="center"/>
    </xf>
    <xf numFmtId="0" fontId="4" fillId="0" borderId="7" xfId="0" applyNumberFormat="1" applyFont="1" applyFill="1" applyBorder="1" applyAlignment="1" applyProtection="1">
      <alignment horizontal="center" vertical="center"/>
    </xf>
    <xf numFmtId="0" fontId="4" fillId="0" borderId="9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10" xfId="0" applyNumberFormat="1" applyFont="1" applyFill="1" applyBorder="1" applyAlignment="1" applyProtection="1">
      <alignment horizontal="center" vertical="center"/>
    </xf>
    <xf numFmtId="0" fontId="4" fillId="0" borderId="12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0" fontId="4" fillId="0" borderId="13" xfId="0" applyNumberFormat="1" applyFont="1" applyFill="1" applyBorder="1" applyAlignment="1" applyProtection="1">
      <alignment horizontal="center" vertical="center"/>
    </xf>
    <xf numFmtId="0" fontId="2" fillId="0" borderId="8" xfId="0" applyNumberFormat="1" applyFont="1" applyFill="1" applyBorder="1" applyAlignment="1" applyProtection="1">
      <alignment horizontal="center" vertical="center"/>
    </xf>
    <xf numFmtId="0" fontId="2" fillId="0" borderId="2" xfId="0" applyNumberFormat="1" applyFont="1" applyFill="1" applyBorder="1" applyAlignment="1" applyProtection="1">
      <alignment horizontal="center" vertical="center"/>
    </xf>
    <xf numFmtId="0" fontId="2" fillId="0" borderId="11" xfId="0" applyNumberFormat="1" applyFont="1" applyFill="1" applyBorder="1" applyAlignment="1" applyProtection="1">
      <alignment horizontal="center" vertical="center"/>
    </xf>
    <xf numFmtId="0" fontId="2" fillId="0" borderId="3" xfId="0" applyNumberFormat="1" applyFont="1" applyFill="1" applyBorder="1" applyAlignment="1" applyProtection="1">
      <alignment horizontal="center" vertical="center"/>
    </xf>
    <xf numFmtId="0" fontId="2" fillId="0" borderId="14" xfId="0" applyNumberFormat="1" applyFont="1" applyFill="1" applyBorder="1" applyAlignment="1" applyProtection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/>
    </xf>
    <xf numFmtId="0" fontId="5" fillId="0" borderId="6" xfId="0" applyNumberFormat="1" applyFont="1" applyFill="1" applyBorder="1" applyAlignment="1" applyProtection="1">
      <alignment horizontal="center" vertical="center"/>
    </xf>
    <xf numFmtId="0" fontId="5" fillId="0" borderId="1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horizontal="center" vertical="center"/>
    </xf>
    <xf numFmtId="0" fontId="5" fillId="0" borderId="9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10" xfId="0" applyNumberFormat="1" applyFont="1" applyFill="1" applyBorder="1" applyAlignment="1" applyProtection="1">
      <alignment horizontal="center" vertical="center"/>
    </xf>
    <xf numFmtId="0" fontId="5" fillId="0" borderId="12" xfId="0" applyNumberFormat="1" applyFont="1" applyFill="1" applyBorder="1" applyAlignment="1" applyProtection="1">
      <alignment horizontal="center" vertical="center"/>
    </xf>
    <xf numFmtId="0" fontId="5" fillId="0" borderId="4" xfId="0" applyNumberFormat="1" applyFont="1" applyFill="1" applyBorder="1" applyAlignment="1" applyProtection="1">
      <alignment horizontal="center" vertical="center"/>
    </xf>
    <xf numFmtId="0" fontId="5" fillId="0" borderId="13" xfId="0" applyNumberFormat="1" applyFont="1" applyFill="1" applyBorder="1" applyAlignment="1" applyProtection="1">
      <alignment horizontal="center" vertical="center"/>
    </xf>
    <xf numFmtId="0" fontId="2" fillId="0" borderId="8" xfId="0" applyNumberFormat="1" applyFont="1" applyFill="1" applyBorder="1" applyAlignment="1" applyProtection="1">
      <alignment horizontal="center" vertical="center" wrapText="1"/>
    </xf>
    <xf numFmtId="0" fontId="4" fillId="0" borderId="8" xfId="0" applyNumberFormat="1" applyFont="1" applyFill="1" applyBorder="1" applyAlignment="1" applyProtection="1">
      <alignment horizontal="center" vertical="center"/>
    </xf>
    <xf numFmtId="0" fontId="4" fillId="0" borderId="11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0" fontId="6" fillId="0" borderId="6" xfId="0" applyNumberFormat="1" applyFont="1" applyFill="1" applyBorder="1" applyAlignment="1" applyProtection="1">
      <alignment horizontal="center" vertical="center" wrapText="1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0" fontId="6" fillId="0" borderId="7" xfId="0" applyNumberFormat="1" applyFont="1" applyFill="1" applyBorder="1" applyAlignment="1" applyProtection="1">
      <alignment horizontal="center" vertical="center" wrapText="1"/>
    </xf>
    <xf numFmtId="0" fontId="6" fillId="0" borderId="9" xfId="0" applyNumberFormat="1" applyFont="1" applyFill="1" applyBorder="1" applyAlignment="1" applyProtection="1">
      <alignment horizontal="center" vertical="center" wrapText="1"/>
    </xf>
    <xf numFmtId="0" fontId="6" fillId="0" borderId="0" xfId="0" applyNumberFormat="1" applyFont="1" applyFill="1" applyBorder="1" applyAlignment="1" applyProtection="1">
      <alignment horizontal="center" vertical="center" wrapText="1"/>
    </xf>
    <xf numFmtId="0" fontId="6" fillId="0" borderId="10" xfId="0" applyNumberFormat="1" applyFont="1" applyFill="1" applyBorder="1" applyAlignment="1" applyProtection="1">
      <alignment horizontal="center" vertical="center" wrapText="1"/>
    </xf>
    <xf numFmtId="0" fontId="6" fillId="0" borderId="12" xfId="0" applyNumberFormat="1" applyFont="1" applyFill="1" applyBorder="1" applyAlignment="1" applyProtection="1">
      <alignment horizontal="center" vertical="center" wrapText="1"/>
    </xf>
    <xf numFmtId="0" fontId="6" fillId="0" borderId="4" xfId="0" applyNumberFormat="1" applyFont="1" applyFill="1" applyBorder="1" applyAlignment="1" applyProtection="1">
      <alignment horizontal="center" vertical="center" wrapText="1"/>
    </xf>
    <xf numFmtId="0" fontId="6" fillId="0" borderId="13" xfId="0" applyNumberFormat="1" applyFont="1" applyFill="1" applyBorder="1" applyAlignment="1" applyProtection="1">
      <alignment horizontal="center" vertical="center" wrapText="1"/>
    </xf>
    <xf numFmtId="0" fontId="22" fillId="0" borderId="8" xfId="0" applyNumberFormat="1" applyFont="1" applyFill="1" applyBorder="1" applyAlignment="1" applyProtection="1">
      <alignment horizontal="center" vertical="center" wrapText="1"/>
    </xf>
    <xf numFmtId="0" fontId="22" fillId="0" borderId="1" xfId="0" applyNumberFormat="1" applyFont="1" applyFill="1" applyBorder="1" applyAlignment="1" applyProtection="1">
      <alignment horizontal="center" vertical="center" wrapText="1"/>
    </xf>
    <xf numFmtId="0" fontId="22" fillId="0" borderId="7" xfId="0" applyNumberFormat="1" applyFont="1" applyFill="1" applyBorder="1" applyAlignment="1" applyProtection="1">
      <alignment horizontal="center" vertical="center" wrapText="1"/>
    </xf>
    <xf numFmtId="0" fontId="22" fillId="0" borderId="11" xfId="0" applyNumberFormat="1" applyFont="1" applyFill="1" applyBorder="1" applyAlignment="1" applyProtection="1">
      <alignment horizontal="center" vertical="center" wrapText="1"/>
    </xf>
    <xf numFmtId="0" fontId="22" fillId="0" borderId="0" xfId="0" applyNumberFormat="1" applyFont="1" applyFill="1" applyBorder="1" applyAlignment="1" applyProtection="1">
      <alignment horizontal="center" vertical="center" wrapText="1"/>
    </xf>
    <xf numFmtId="0" fontId="22" fillId="0" borderId="10" xfId="0" applyNumberFormat="1" applyFont="1" applyFill="1" applyBorder="1" applyAlignment="1" applyProtection="1">
      <alignment horizontal="center" vertical="center" wrapText="1"/>
    </xf>
    <xf numFmtId="0" fontId="22" fillId="0" borderId="14" xfId="0" applyNumberFormat="1" applyFont="1" applyFill="1" applyBorder="1" applyAlignment="1" applyProtection="1">
      <alignment horizontal="center" vertical="center" wrapText="1"/>
    </xf>
    <xf numFmtId="0" fontId="22" fillId="0" borderId="4" xfId="0" applyNumberFormat="1" applyFont="1" applyFill="1" applyBorder="1" applyAlignment="1" applyProtection="1">
      <alignment horizontal="center" vertical="center" wrapText="1"/>
    </xf>
    <xf numFmtId="0" fontId="22" fillId="0" borderId="13" xfId="0" applyNumberFormat="1" applyFont="1" applyFill="1" applyBorder="1" applyAlignment="1" applyProtection="1">
      <alignment horizontal="center" vertical="center" wrapText="1"/>
    </xf>
    <xf numFmtId="0" fontId="6" fillId="0" borderId="8" xfId="0" applyNumberFormat="1" applyFont="1" applyFill="1" applyBorder="1" applyAlignment="1" applyProtection="1">
      <alignment horizontal="center" vertical="center" wrapText="1"/>
    </xf>
    <xf numFmtId="0" fontId="6" fillId="0" borderId="11" xfId="0" applyNumberFormat="1" applyFont="1" applyFill="1" applyBorder="1" applyAlignment="1" applyProtection="1">
      <alignment horizontal="center" vertical="center" wrapText="1"/>
    </xf>
    <xf numFmtId="0" fontId="6" fillId="0" borderId="14" xfId="0" applyNumberFormat="1" applyFont="1" applyFill="1" applyBorder="1" applyAlignment="1" applyProtection="1">
      <alignment horizontal="center" vertical="center" wrapText="1"/>
    </xf>
    <xf numFmtId="0" fontId="21" fillId="0" borderId="8" xfId="0" applyNumberFormat="1" applyFont="1" applyFill="1" applyBorder="1" applyAlignment="1" applyProtection="1">
      <alignment horizontal="center" vertical="center" wrapText="1"/>
    </xf>
    <xf numFmtId="0" fontId="21" fillId="0" borderId="1" xfId="0" applyNumberFormat="1" applyFont="1" applyFill="1" applyBorder="1" applyAlignment="1" applyProtection="1">
      <alignment horizontal="center" vertical="center" wrapText="1"/>
    </xf>
    <xf numFmtId="0" fontId="21" fillId="0" borderId="2" xfId="0" applyNumberFormat="1" applyFont="1" applyFill="1" applyBorder="1" applyAlignment="1" applyProtection="1">
      <alignment horizontal="center" vertical="center" wrapText="1"/>
    </xf>
    <xf numFmtId="0" fontId="21" fillId="0" borderId="11" xfId="0" applyNumberFormat="1" applyFont="1" applyFill="1" applyBorder="1" applyAlignment="1" applyProtection="1">
      <alignment horizontal="center" vertical="center" wrapText="1"/>
    </xf>
    <xf numFmtId="0" fontId="21" fillId="0" borderId="0" xfId="0" applyNumberFormat="1" applyFont="1" applyFill="1" applyBorder="1" applyAlignment="1" applyProtection="1">
      <alignment horizontal="center" vertical="center" wrapText="1"/>
    </xf>
    <xf numFmtId="0" fontId="21" fillId="0" borderId="3" xfId="0" applyNumberFormat="1" applyFont="1" applyFill="1" applyBorder="1" applyAlignment="1" applyProtection="1">
      <alignment horizontal="center" vertical="center" wrapText="1"/>
    </xf>
    <xf numFmtId="0" fontId="21" fillId="0" borderId="14" xfId="0" applyNumberFormat="1" applyFont="1" applyFill="1" applyBorder="1" applyAlignment="1" applyProtection="1">
      <alignment horizontal="center" vertical="center" wrapText="1"/>
    </xf>
    <xf numFmtId="0" fontId="21" fillId="0" borderId="4" xfId="0" applyNumberFormat="1" applyFont="1" applyFill="1" applyBorder="1" applyAlignment="1" applyProtection="1">
      <alignment horizontal="center" vertical="center" wrapText="1"/>
    </xf>
    <xf numFmtId="0" fontId="21" fillId="0" borderId="5" xfId="0" applyNumberFormat="1" applyFont="1" applyFill="1" applyBorder="1" applyAlignment="1" applyProtection="1">
      <alignment horizontal="center" vertical="center" wrapText="1"/>
    </xf>
    <xf numFmtId="0" fontId="21" fillId="0" borderId="0" xfId="0" applyNumberFormat="1" applyFont="1" applyFill="1" applyBorder="1" applyAlignment="1" applyProtection="1">
      <alignment horizontal="center" vertical="top" wrapText="1"/>
    </xf>
    <xf numFmtId="0" fontId="1" fillId="0" borderId="1" xfId="0" applyNumberFormat="1" applyFont="1" applyFill="1" applyBorder="1" applyAlignment="1" applyProtection="1">
      <alignment horizontal="left" vertical="center" wrapText="1"/>
    </xf>
    <xf numFmtId="0" fontId="1" fillId="0" borderId="2" xfId="0" applyNumberFormat="1" applyFont="1" applyFill="1" applyBorder="1" applyAlignment="1" applyProtection="1">
      <alignment horizontal="left" vertical="center" wrapText="1"/>
    </xf>
    <xf numFmtId="0" fontId="1" fillId="0" borderId="0" xfId="0" applyNumberFormat="1" applyFont="1" applyFill="1" applyBorder="1" applyAlignment="1" applyProtection="1">
      <alignment horizontal="left" vertical="center" wrapText="1"/>
    </xf>
    <xf numFmtId="0" fontId="1" fillId="0" borderId="3" xfId="0" applyNumberFormat="1" applyFont="1" applyFill="1" applyBorder="1" applyAlignment="1" applyProtection="1">
      <alignment horizontal="left" vertical="center" wrapText="1"/>
    </xf>
    <xf numFmtId="0" fontId="1" fillId="0" borderId="4" xfId="0" applyNumberFormat="1" applyFont="1" applyFill="1" applyBorder="1" applyAlignment="1" applyProtection="1">
      <alignment horizontal="left" vertical="center" wrapText="1"/>
    </xf>
    <xf numFmtId="0" fontId="1" fillId="0" borderId="5" xfId="0" applyNumberFormat="1" applyFont="1" applyFill="1" applyBorder="1" applyAlignment="1" applyProtection="1">
      <alignment horizontal="left" vertical="center" wrapText="1"/>
    </xf>
    <xf numFmtId="0" fontId="3" fillId="0" borderId="6" xfId="0" applyNumberFormat="1" applyFont="1" applyFill="1" applyBorder="1" applyAlignment="1" applyProtection="1">
      <alignment horizontal="center" vertical="center" wrapText="1"/>
    </xf>
    <xf numFmtId="0" fontId="3" fillId="0" borderId="1" xfId="0" applyNumberFormat="1" applyFont="1" applyFill="1" applyBorder="1" applyAlignment="1" applyProtection="1">
      <alignment horizontal="center" vertical="center" wrapText="1"/>
    </xf>
    <xf numFmtId="0" fontId="3" fillId="0" borderId="7" xfId="0" applyNumberFormat="1" applyFont="1" applyFill="1" applyBorder="1" applyAlignment="1" applyProtection="1">
      <alignment horizontal="center" vertical="center" wrapText="1"/>
    </xf>
    <xf numFmtId="0" fontId="3" fillId="0" borderId="9" xfId="0" applyNumberFormat="1" applyFont="1" applyFill="1" applyBorder="1" applyAlignment="1" applyProtection="1">
      <alignment horizontal="center" vertical="center" wrapText="1"/>
    </xf>
    <xf numFmtId="0" fontId="3" fillId="0" borderId="12" xfId="0" applyNumberFormat="1" applyFont="1" applyFill="1" applyBorder="1" applyAlignment="1" applyProtection="1">
      <alignment horizontal="center" vertical="center" wrapText="1"/>
    </xf>
    <xf numFmtId="0" fontId="3" fillId="0" borderId="8" xfId="0" applyNumberFormat="1" applyFont="1" applyFill="1" applyBorder="1" applyAlignment="1" applyProtection="1">
      <alignment horizontal="center" vertical="center" wrapText="1"/>
    </xf>
    <xf numFmtId="0" fontId="3" fillId="0" borderId="8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 vertical="center"/>
    </xf>
    <xf numFmtId="0" fontId="3" fillId="0" borderId="2" xfId="0" applyNumberFormat="1" applyFont="1" applyFill="1" applyBorder="1" applyAlignment="1" applyProtection="1">
      <alignment horizontal="center" vertical="center" wrapText="1"/>
    </xf>
    <xf numFmtId="0" fontId="3" fillId="0" borderId="3" xfId="0" applyNumberFormat="1" applyFont="1" applyFill="1" applyBorder="1" applyAlignment="1" applyProtection="1">
      <alignment horizontal="center" vertical="center" wrapText="1"/>
    </xf>
    <xf numFmtId="0" fontId="3" fillId="0" borderId="5" xfId="0" applyNumberFormat="1" applyFont="1" applyFill="1" applyBorder="1" applyAlignment="1" applyProtection="1">
      <alignment horizontal="center" vertical="center" wrapText="1"/>
    </xf>
    <xf numFmtId="0" fontId="6" fillId="0" borderId="2" xfId="0" applyNumberFormat="1" applyFont="1" applyFill="1" applyBorder="1" applyAlignment="1" applyProtection="1">
      <alignment horizontal="center" vertical="center" wrapText="1"/>
    </xf>
    <xf numFmtId="0" fontId="6" fillId="0" borderId="3" xfId="0" applyNumberFormat="1" applyFont="1" applyFill="1" applyBorder="1" applyAlignment="1" applyProtection="1">
      <alignment horizontal="center" vertical="center" wrapText="1"/>
    </xf>
    <xf numFmtId="0" fontId="6" fillId="0" borderId="5" xfId="0" applyNumberFormat="1" applyFont="1" applyFill="1" applyBorder="1" applyAlignment="1" applyProtection="1">
      <alignment horizontal="center" vertical="center" wrapText="1"/>
    </xf>
    <xf numFmtId="0" fontId="3" fillId="0" borderId="6" xfId="0" applyNumberFormat="1" applyFont="1" applyFill="1" applyBorder="1" applyAlignment="1" applyProtection="1">
      <alignment horizontal="center" vertical="center"/>
    </xf>
    <xf numFmtId="0" fontId="1" fillId="0" borderId="6" xfId="0" applyNumberFormat="1" applyFont="1" applyFill="1" applyBorder="1" applyAlignment="1" applyProtection="1">
      <alignment horizontal="left" vertical="center"/>
    </xf>
    <xf numFmtId="0" fontId="1" fillId="0" borderId="1" xfId="0" applyNumberFormat="1" applyFont="1" applyFill="1" applyBorder="1" applyAlignment="1" applyProtection="1">
      <alignment horizontal="left" vertical="center"/>
    </xf>
    <xf numFmtId="0" fontId="1" fillId="0" borderId="9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>
      <alignment horizontal="left" vertical="center"/>
    </xf>
    <xf numFmtId="0" fontId="17" fillId="0" borderId="1" xfId="0" applyNumberFormat="1" applyFont="1" applyFill="1" applyBorder="1" applyAlignment="1" applyProtection="1">
      <alignment horizontal="center" vertical="center"/>
    </xf>
    <xf numFmtId="0" fontId="17" fillId="0" borderId="7" xfId="0" applyNumberFormat="1" applyFont="1" applyFill="1" applyBorder="1" applyAlignment="1" applyProtection="1">
      <alignment horizontal="center" vertical="center"/>
    </xf>
    <xf numFmtId="0" fontId="17" fillId="0" borderId="0" xfId="0" applyNumberFormat="1" applyFont="1" applyFill="1" applyBorder="1" applyAlignment="1" applyProtection="1">
      <alignment horizontal="center" vertical="center"/>
    </xf>
    <xf numFmtId="0" fontId="17" fillId="0" borderId="10" xfId="0" applyNumberFormat="1" applyFont="1" applyFill="1" applyBorder="1" applyAlignment="1" applyProtection="1">
      <alignment horizontal="center" vertical="center"/>
    </xf>
    <xf numFmtId="0" fontId="1" fillId="0" borderId="8" xfId="0" applyNumberFormat="1" applyFont="1" applyFill="1" applyBorder="1" applyAlignment="1" applyProtection="1">
      <alignment horizontal="left" vertical="center"/>
    </xf>
    <xf numFmtId="0" fontId="1" fillId="0" borderId="11" xfId="0" applyNumberFormat="1" applyFont="1" applyFill="1" applyBorder="1" applyAlignment="1" applyProtection="1">
      <alignment horizontal="left" vertical="center"/>
    </xf>
    <xf numFmtId="0" fontId="15" fillId="0" borderId="1" xfId="0" applyNumberFormat="1" applyFont="1" applyFill="1" applyBorder="1" applyAlignment="1" applyProtection="1">
      <alignment horizontal="center" vertical="center"/>
    </xf>
    <xf numFmtId="0" fontId="15" fillId="0" borderId="2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5" fillId="0" borderId="3" xfId="0" applyNumberFormat="1" applyFont="1" applyFill="1" applyBorder="1" applyAlignment="1" applyProtection="1">
      <alignment horizontal="center" vertical="center"/>
    </xf>
    <xf numFmtId="0" fontId="15" fillId="0" borderId="4" xfId="0" applyNumberFormat="1" applyFont="1" applyFill="1" applyBorder="1" applyAlignment="1" applyProtection="1">
      <alignment horizontal="center" vertical="center"/>
    </xf>
    <xf numFmtId="0" fontId="15" fillId="0" borderId="5" xfId="0" applyNumberFormat="1" applyFont="1" applyFill="1" applyBorder="1" applyAlignment="1" applyProtection="1">
      <alignment horizontal="center" vertical="center"/>
    </xf>
    <xf numFmtId="0" fontId="3" fillId="2" borderId="8" xfId="0" applyNumberFormat="1" applyFont="1" applyFill="1" applyBorder="1" applyAlignment="1" applyProtection="1">
      <alignment horizontal="left" vertical="center"/>
    </xf>
    <xf numFmtId="0" fontId="3" fillId="2" borderId="1" xfId="0" applyNumberFormat="1" applyFont="1" applyFill="1" applyBorder="1" applyAlignment="1" applyProtection="1">
      <alignment horizontal="left" vertical="center"/>
    </xf>
    <xf numFmtId="0" fontId="3" fillId="2" borderId="7" xfId="0" applyNumberFormat="1" applyFont="1" applyFill="1" applyBorder="1" applyAlignment="1" applyProtection="1">
      <alignment horizontal="left" vertical="center"/>
    </xf>
    <xf numFmtId="0" fontId="3" fillId="2" borderId="11" xfId="0" applyNumberFormat="1" applyFont="1" applyFill="1" applyBorder="1" applyAlignment="1" applyProtection="1">
      <alignment horizontal="left" vertical="center"/>
    </xf>
    <xf numFmtId="0" fontId="3" fillId="2" borderId="0" xfId="0" applyNumberFormat="1" applyFont="1" applyFill="1" applyBorder="1" applyAlignment="1" applyProtection="1">
      <alignment horizontal="left" vertical="center"/>
    </xf>
    <xf numFmtId="0" fontId="3" fillId="2" borderId="10" xfId="0" applyNumberFormat="1" applyFont="1" applyFill="1" applyBorder="1" applyAlignment="1" applyProtection="1">
      <alignment horizontal="left" vertical="center"/>
    </xf>
    <xf numFmtId="0" fontId="9" fillId="0" borderId="8" xfId="0" applyNumberFormat="1" applyFont="1" applyFill="1" applyBorder="1" applyAlignment="1" applyProtection="1">
      <alignment horizontal="left" vertical="center"/>
    </xf>
    <xf numFmtId="0" fontId="9" fillId="0" borderId="1" xfId="0" applyNumberFormat="1" applyFont="1" applyFill="1" applyBorder="1" applyAlignment="1" applyProtection="1">
      <alignment horizontal="left" vertical="center"/>
    </xf>
    <xf numFmtId="0" fontId="9" fillId="0" borderId="11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9" fillId="0" borderId="8" xfId="0" applyNumberFormat="1" applyFont="1" applyFill="1" applyBorder="1" applyAlignment="1" applyProtection="1">
      <alignment horizontal="left"/>
    </xf>
    <xf numFmtId="0" fontId="9" fillId="0" borderId="1" xfId="0" applyNumberFormat="1" applyFont="1" applyFill="1" applyBorder="1" applyAlignment="1" applyProtection="1">
      <alignment horizontal="left"/>
    </xf>
    <xf numFmtId="0" fontId="9" fillId="0" borderId="7" xfId="0" applyNumberFormat="1" applyFont="1" applyFill="1" applyBorder="1" applyAlignment="1" applyProtection="1">
      <alignment horizontal="left"/>
    </xf>
    <xf numFmtId="0" fontId="9" fillId="0" borderId="11" xfId="0" applyNumberFormat="1" applyFont="1" applyFill="1" applyBorder="1" applyAlignment="1" applyProtection="1">
      <alignment horizontal="left"/>
    </xf>
    <xf numFmtId="0" fontId="9" fillId="0" borderId="0" xfId="0" applyNumberFormat="1" applyFont="1" applyFill="1" applyBorder="1" applyAlignment="1" applyProtection="1">
      <alignment horizontal="left"/>
    </xf>
    <xf numFmtId="0" fontId="9" fillId="0" borderId="10" xfId="0" applyNumberFormat="1" applyFont="1" applyFill="1" applyBorder="1" applyAlignment="1" applyProtection="1">
      <alignment horizontal="left"/>
    </xf>
    <xf numFmtId="0" fontId="2" fillId="0" borderId="11" xfId="0" applyNumberFormat="1" applyFont="1" applyFill="1" applyBorder="1" applyAlignment="1" applyProtection="1">
      <alignment horizontal="center" vertical="center" wrapText="1"/>
    </xf>
    <xf numFmtId="0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10" xfId="0" applyNumberFormat="1" applyFont="1" applyFill="1" applyBorder="1" applyAlignment="1" applyProtection="1">
      <alignment horizontal="center" vertical="center" wrapText="1"/>
    </xf>
    <xf numFmtId="0" fontId="2" fillId="0" borderId="1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2" fillId="0" borderId="13" xfId="0" applyNumberFormat="1" applyFont="1" applyFill="1" applyBorder="1" applyAlignment="1" applyProtection="1">
      <alignment horizontal="center" vertical="center" wrapText="1"/>
    </xf>
    <xf numFmtId="0" fontId="9" fillId="0" borderId="1" xfId="0" applyNumberFormat="1" applyFont="1" applyFill="1" applyBorder="1" applyAlignment="1" applyProtection="1">
      <alignment horizontal="center" wrapText="1"/>
    </xf>
    <xf numFmtId="0" fontId="9" fillId="0" borderId="7" xfId="0" applyNumberFormat="1" applyFont="1" applyFill="1" applyBorder="1" applyAlignment="1" applyProtection="1">
      <alignment horizontal="center" wrapText="1"/>
    </xf>
    <xf numFmtId="0" fontId="9" fillId="0" borderId="0" xfId="0" applyNumberFormat="1" applyFont="1" applyFill="1" applyBorder="1" applyAlignment="1" applyProtection="1">
      <alignment horizontal="center" wrapText="1"/>
    </xf>
    <xf numFmtId="0" fontId="9" fillId="0" borderId="10" xfId="0" applyNumberFormat="1" applyFont="1" applyFill="1" applyBorder="1" applyAlignment="1" applyProtection="1">
      <alignment horizontal="center" wrapText="1"/>
    </xf>
    <xf numFmtId="0" fontId="2" fillId="0" borderId="0" xfId="0" applyNumberFormat="1" applyFont="1" applyFill="1" applyBorder="1" applyAlignment="1" applyProtection="1">
      <alignment horizontal="right"/>
    </xf>
    <xf numFmtId="0" fontId="2" fillId="0" borderId="4" xfId="0" applyNumberFormat="1" applyFont="1" applyFill="1" applyBorder="1" applyAlignment="1" applyProtection="1">
      <alignment horizontal="right"/>
    </xf>
    <xf numFmtId="0" fontId="2" fillId="0" borderId="0" xfId="0" applyNumberFormat="1" applyFont="1" applyFill="1" applyBorder="1" applyAlignment="1" applyProtection="1">
      <alignment horizontal="center"/>
    </xf>
    <xf numFmtId="0" fontId="2" fillId="0" borderId="4" xfId="0" applyNumberFormat="1" applyFont="1" applyFill="1" applyBorder="1" applyAlignment="1" applyProtection="1">
      <alignment horizontal="center"/>
    </xf>
    <xf numFmtId="0" fontId="2" fillId="0" borderId="1" xfId="0" applyNumberFormat="1" applyFont="1" applyFill="1" applyBorder="1" applyAlignment="1" applyProtection="1">
      <alignment horizontal="center"/>
    </xf>
    <xf numFmtId="0" fontId="3" fillId="0" borderId="26" xfId="0" applyNumberFormat="1" applyFont="1" applyFill="1" applyBorder="1" applyAlignment="1" applyProtection="1">
      <alignment horizontal="center" vertical="center"/>
    </xf>
    <xf numFmtId="0" fontId="3" fillId="0" borderId="27" xfId="0" applyNumberFormat="1" applyFont="1" applyFill="1" applyBorder="1" applyAlignment="1" applyProtection="1">
      <alignment horizontal="center" vertical="center"/>
    </xf>
    <xf numFmtId="0" fontId="3" fillId="0" borderId="28" xfId="0" applyNumberFormat="1" applyFont="1" applyFill="1" applyBorder="1" applyAlignment="1" applyProtection="1">
      <alignment horizontal="center" vertical="center"/>
    </xf>
    <xf numFmtId="0" fontId="3" fillId="0" borderId="29" xfId="0" applyNumberFormat="1" applyFont="1" applyFill="1" applyBorder="1" applyAlignment="1" applyProtection="1">
      <alignment horizontal="center" vertical="center"/>
    </xf>
    <xf numFmtId="0" fontId="3" fillId="0" borderId="30" xfId="0" applyNumberFormat="1" applyFont="1" applyFill="1" applyBorder="1" applyAlignment="1" applyProtection="1">
      <alignment horizontal="center" vertical="center"/>
    </xf>
    <xf numFmtId="0" fontId="3" fillId="0" borderId="31" xfId="0" applyNumberFormat="1" applyFont="1" applyFill="1" applyBorder="1" applyAlignment="1" applyProtection="1">
      <alignment horizontal="center" vertical="center"/>
    </xf>
    <xf numFmtId="0" fontId="3" fillId="0" borderId="32" xfId="0" applyNumberFormat="1" applyFont="1" applyFill="1" applyBorder="1" applyAlignment="1" applyProtection="1">
      <alignment horizontal="center" vertical="center"/>
    </xf>
    <xf numFmtId="0" fontId="3" fillId="0" borderId="33" xfId="0" applyNumberFormat="1" applyFont="1" applyFill="1" applyBorder="1" applyAlignment="1" applyProtection="1">
      <alignment horizontal="center" vertical="center"/>
    </xf>
    <xf numFmtId="0" fontId="3" fillId="2" borderId="14" xfId="0" applyNumberFormat="1" applyFont="1" applyFill="1" applyBorder="1" applyAlignment="1" applyProtection="1">
      <alignment horizontal="left" vertical="center"/>
    </xf>
    <xf numFmtId="0" fontId="3" fillId="2" borderId="4" xfId="0" applyNumberFormat="1" applyFont="1" applyFill="1" applyBorder="1" applyAlignment="1" applyProtection="1">
      <alignment horizontal="left" vertical="center"/>
    </xf>
    <xf numFmtId="0" fontId="3" fillId="2" borderId="13" xfId="0" applyNumberFormat="1" applyFont="1" applyFill="1" applyBorder="1" applyAlignment="1" applyProtection="1">
      <alignment horizontal="left" vertical="center"/>
    </xf>
    <xf numFmtId="0" fontId="3" fillId="0" borderId="8" xfId="0" applyNumberFormat="1" applyFont="1" applyFill="1" applyBorder="1" applyAlignment="1" applyProtection="1">
      <alignment horizontal="center"/>
    </xf>
    <xf numFmtId="0" fontId="3" fillId="0" borderId="1" xfId="0" applyNumberFormat="1" applyFont="1" applyFill="1" applyBorder="1" applyAlignment="1" applyProtection="1">
      <alignment horizontal="center"/>
    </xf>
    <xf numFmtId="0" fontId="3" fillId="0" borderId="7" xfId="0" applyNumberFormat="1" applyFont="1" applyFill="1" applyBorder="1" applyAlignment="1" applyProtection="1">
      <alignment horizontal="center"/>
    </xf>
    <xf numFmtId="0" fontId="3" fillId="0" borderId="11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0" borderId="10" xfId="0" applyNumberFormat="1" applyFont="1" applyFill="1" applyBorder="1" applyAlignment="1" applyProtection="1">
      <alignment horizontal="center"/>
    </xf>
    <xf numFmtId="0" fontId="3" fillId="0" borderId="14" xfId="0" applyNumberFormat="1" applyFont="1" applyFill="1" applyBorder="1" applyAlignment="1" applyProtection="1">
      <alignment horizontal="center"/>
    </xf>
    <xf numFmtId="0" fontId="3" fillId="0" borderId="4" xfId="0" applyNumberFormat="1" applyFont="1" applyFill="1" applyBorder="1" applyAlignment="1" applyProtection="1">
      <alignment horizontal="center"/>
    </xf>
    <xf numFmtId="0" fontId="3" fillId="0" borderId="13" xfId="0" applyNumberFormat="1" applyFont="1" applyFill="1" applyBorder="1" applyAlignment="1" applyProtection="1">
      <alignment horizontal="center"/>
    </xf>
    <xf numFmtId="0" fontId="12" fillId="0" borderId="11" xfId="0" applyNumberFormat="1" applyFont="1" applyFill="1" applyBorder="1" applyAlignment="1" applyProtection="1">
      <alignment horizontal="center"/>
    </xf>
    <xf numFmtId="0" fontId="12" fillId="0" borderId="0" xfId="0" applyNumberFormat="1" applyFont="1" applyFill="1" applyBorder="1" applyAlignment="1" applyProtection="1">
      <alignment horizontal="center"/>
    </xf>
    <xf numFmtId="0" fontId="12" fillId="0" borderId="10" xfId="0" applyNumberFormat="1" applyFont="1" applyFill="1" applyBorder="1" applyAlignment="1" applyProtection="1">
      <alignment horizontal="center"/>
    </xf>
    <xf numFmtId="0" fontId="12" fillId="0" borderId="14" xfId="0" applyNumberFormat="1" applyFont="1" applyFill="1" applyBorder="1" applyAlignment="1" applyProtection="1">
      <alignment horizontal="center"/>
    </xf>
    <xf numFmtId="0" fontId="12" fillId="0" borderId="4" xfId="0" applyNumberFormat="1" applyFont="1" applyFill="1" applyBorder="1" applyAlignment="1" applyProtection="1">
      <alignment horizontal="center"/>
    </xf>
    <xf numFmtId="0" fontId="12" fillId="0" borderId="13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0" fillId="0" borderId="10" xfId="0" applyNumberFormat="1" applyFont="1" applyFill="1" applyBorder="1" applyAlignment="1" applyProtection="1">
      <alignment horizontal="center" vertical="center" wrapText="1"/>
    </xf>
    <xf numFmtId="0" fontId="10" fillId="0" borderId="4" xfId="0" applyNumberFormat="1" applyFont="1" applyFill="1" applyBorder="1" applyAlignment="1" applyProtection="1">
      <alignment horizontal="center" vertical="center" wrapText="1"/>
    </xf>
    <xf numFmtId="0" fontId="10" fillId="0" borderId="13" xfId="0" applyNumberFormat="1" applyFont="1" applyFill="1" applyBorder="1" applyAlignment="1" applyProtection="1">
      <alignment horizontal="center" vertical="center" wrapText="1"/>
    </xf>
    <xf numFmtId="0" fontId="9" fillId="0" borderId="8" xfId="0" applyNumberFormat="1" applyFont="1" applyFill="1" applyBorder="1" applyAlignment="1" applyProtection="1">
      <alignment horizontal="left" wrapText="1"/>
    </xf>
    <xf numFmtId="0" fontId="9" fillId="0" borderId="1" xfId="0" applyNumberFormat="1" applyFont="1" applyFill="1" applyBorder="1" applyAlignment="1" applyProtection="1">
      <alignment horizontal="left" wrapText="1"/>
    </xf>
    <xf numFmtId="0" fontId="9" fillId="0" borderId="7" xfId="0" applyNumberFormat="1" applyFont="1" applyFill="1" applyBorder="1" applyAlignment="1" applyProtection="1">
      <alignment horizontal="left" wrapText="1"/>
    </xf>
    <xf numFmtId="0" fontId="9" fillId="0" borderId="11" xfId="0" applyNumberFormat="1" applyFont="1" applyFill="1" applyBorder="1" applyAlignment="1" applyProtection="1">
      <alignment horizontal="left" wrapText="1"/>
    </xf>
    <xf numFmtId="0" fontId="9" fillId="0" borderId="0" xfId="0" applyNumberFormat="1" applyFont="1" applyFill="1" applyBorder="1" applyAlignment="1" applyProtection="1">
      <alignment horizontal="left" wrapText="1"/>
    </xf>
    <xf numFmtId="0" fontId="9" fillId="0" borderId="10" xfId="0" applyNumberFormat="1" applyFont="1" applyFill="1" applyBorder="1" applyAlignment="1" applyProtection="1">
      <alignment horizontal="left" wrapText="1"/>
    </xf>
    <xf numFmtId="0" fontId="9" fillId="0" borderId="14" xfId="0" applyNumberFormat="1" applyFont="1" applyFill="1" applyBorder="1" applyAlignment="1" applyProtection="1">
      <alignment horizontal="left" wrapText="1"/>
    </xf>
    <xf numFmtId="0" fontId="9" fillId="0" borderId="4" xfId="0" applyNumberFormat="1" applyFont="1" applyFill="1" applyBorder="1" applyAlignment="1" applyProtection="1">
      <alignment horizontal="left" wrapText="1"/>
    </xf>
    <xf numFmtId="0" fontId="9" fillId="0" borderId="13" xfId="0" applyNumberFormat="1" applyFont="1" applyFill="1" applyBorder="1" applyAlignment="1" applyProtection="1">
      <alignment horizontal="left" wrapText="1"/>
    </xf>
    <xf numFmtId="0" fontId="10" fillId="0" borderId="8" xfId="0" applyNumberFormat="1" applyFont="1" applyFill="1" applyBorder="1" applyAlignment="1" applyProtection="1">
      <alignment horizontal="center" vertical="center" wrapText="1"/>
    </xf>
    <xf numFmtId="0" fontId="10" fillId="0" borderId="1" xfId="0" applyNumberFormat="1" applyFont="1" applyFill="1" applyBorder="1" applyAlignment="1" applyProtection="1">
      <alignment horizontal="center" vertical="center" wrapText="1"/>
    </xf>
    <xf numFmtId="0" fontId="10" fillId="0" borderId="7" xfId="0" applyNumberFormat="1" applyFont="1" applyFill="1" applyBorder="1" applyAlignment="1" applyProtection="1">
      <alignment horizontal="center" vertical="center" wrapText="1"/>
    </xf>
    <xf numFmtId="0" fontId="10" fillId="0" borderId="11" xfId="0" applyNumberFormat="1" applyFont="1" applyFill="1" applyBorder="1" applyAlignment="1" applyProtection="1">
      <alignment horizontal="center" vertical="center" wrapText="1"/>
    </xf>
    <xf numFmtId="0" fontId="10" fillId="0" borderId="14" xfId="0" applyNumberFormat="1" applyFont="1" applyFill="1" applyBorder="1" applyAlignment="1" applyProtection="1">
      <alignment horizontal="center" vertical="center" wrapText="1"/>
    </xf>
    <xf numFmtId="0" fontId="11" fillId="0" borderId="0" xfId="0" applyNumberFormat="1" applyFont="1" applyFill="1" applyBorder="1" applyAlignment="1" applyProtection="1">
      <alignment horizontal="left" vertical="center" wrapText="1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6" fillId="0" borderId="4" xfId="0" applyNumberFormat="1" applyFont="1" applyFill="1" applyBorder="1" applyAlignment="1" applyProtection="1">
      <alignment horizontal="center" vertical="center"/>
    </xf>
    <xf numFmtId="0" fontId="23" fillId="0" borderId="8" xfId="0" applyNumberFormat="1" applyFont="1" applyFill="1" applyBorder="1" applyAlignment="1" applyProtection="1">
      <alignment horizontal="center" vertical="center"/>
    </xf>
    <xf numFmtId="0" fontId="23" fillId="0" borderId="1" xfId="0" applyNumberFormat="1" applyFont="1" applyFill="1" applyBorder="1" applyAlignment="1" applyProtection="1">
      <alignment horizontal="center" vertical="center"/>
    </xf>
    <xf numFmtId="0" fontId="23" fillId="0" borderId="7" xfId="0" applyNumberFormat="1" applyFont="1" applyFill="1" applyBorder="1" applyAlignment="1" applyProtection="1">
      <alignment horizontal="center" vertical="center"/>
    </xf>
    <xf numFmtId="0" fontId="23" fillId="0" borderId="11" xfId="0" applyNumberFormat="1" applyFont="1" applyFill="1" applyBorder="1" applyAlignment="1" applyProtection="1">
      <alignment horizontal="center" vertical="center"/>
    </xf>
    <xf numFmtId="0" fontId="23" fillId="0" borderId="0" xfId="0" applyNumberFormat="1" applyFont="1" applyFill="1" applyBorder="1" applyAlignment="1" applyProtection="1">
      <alignment horizontal="center" vertical="center"/>
    </xf>
    <xf numFmtId="0" fontId="23" fillId="0" borderId="10" xfId="0" applyNumberFormat="1" applyFont="1" applyFill="1" applyBorder="1" applyAlignment="1" applyProtection="1">
      <alignment horizontal="center" vertical="center"/>
    </xf>
    <xf numFmtId="0" fontId="23" fillId="0" borderId="14" xfId="0" applyNumberFormat="1" applyFont="1" applyFill="1" applyBorder="1" applyAlignment="1" applyProtection="1">
      <alignment horizontal="center" vertical="center"/>
    </xf>
    <xf numFmtId="0" fontId="23" fillId="0" borderId="4" xfId="0" applyNumberFormat="1" applyFont="1" applyFill="1" applyBorder="1" applyAlignment="1" applyProtection="1">
      <alignment horizontal="center" vertical="center"/>
    </xf>
    <xf numFmtId="0" fontId="23" fillId="0" borderId="13" xfId="0" applyNumberFormat="1" applyFont="1" applyFill="1" applyBorder="1" applyAlignment="1" applyProtection="1">
      <alignment horizontal="center" vertical="center"/>
    </xf>
    <xf numFmtId="0" fontId="2" fillId="0" borderId="8" xfId="0" applyNumberFormat="1" applyFont="1" applyFill="1" applyBorder="1" applyAlignment="1" applyProtection="1">
      <alignment horizontal="center"/>
    </xf>
    <xf numFmtId="0" fontId="2" fillId="0" borderId="7" xfId="0" applyNumberFormat="1" applyFont="1" applyFill="1" applyBorder="1" applyAlignment="1" applyProtection="1">
      <alignment horizontal="center"/>
    </xf>
    <xf numFmtId="0" fontId="2" fillId="0" borderId="11" xfId="0" applyNumberFormat="1" applyFont="1" applyFill="1" applyBorder="1" applyAlignment="1" applyProtection="1">
      <alignment horizontal="center"/>
    </xf>
    <xf numFmtId="0" fontId="2" fillId="0" borderId="10" xfId="0" applyNumberFormat="1" applyFont="1" applyFill="1" applyBorder="1" applyAlignment="1" applyProtection="1">
      <alignment horizontal="center"/>
    </xf>
    <xf numFmtId="0" fontId="2" fillId="0" borderId="14" xfId="0" applyNumberFormat="1" applyFont="1" applyFill="1" applyBorder="1" applyAlignment="1" applyProtection="1">
      <alignment horizontal="center"/>
    </xf>
    <xf numFmtId="0" fontId="2" fillId="0" borderId="13" xfId="0" applyNumberFormat="1" applyFont="1" applyFill="1" applyBorder="1" applyAlignment="1" applyProtection="1">
      <alignment horizontal="center"/>
    </xf>
    <xf numFmtId="0" fontId="18" fillId="0" borderId="8" xfId="0" applyNumberFormat="1" applyFont="1" applyFill="1" applyBorder="1" applyAlignment="1" applyProtection="1">
      <alignment horizontal="center" vertical="center"/>
    </xf>
    <xf numFmtId="0" fontId="18" fillId="0" borderId="1" xfId="0" applyNumberFormat="1" applyFont="1" applyFill="1" applyBorder="1" applyAlignment="1" applyProtection="1">
      <alignment horizontal="center" vertical="center"/>
    </xf>
    <xf numFmtId="0" fontId="18" fillId="0" borderId="7" xfId="0" applyNumberFormat="1" applyFont="1" applyFill="1" applyBorder="1" applyAlignment="1" applyProtection="1">
      <alignment horizontal="center" vertical="center"/>
    </xf>
    <xf numFmtId="0" fontId="18" fillId="0" borderId="11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10" xfId="0" applyNumberFormat="1" applyFont="1" applyFill="1" applyBorder="1" applyAlignment="1" applyProtection="1">
      <alignment horizontal="center" vertical="center"/>
    </xf>
    <xf numFmtId="0" fontId="18" fillId="0" borderId="14" xfId="0" applyNumberFormat="1" applyFont="1" applyFill="1" applyBorder="1" applyAlignment="1" applyProtection="1">
      <alignment horizontal="center" vertical="center"/>
    </xf>
    <xf numFmtId="0" fontId="18" fillId="0" borderId="4" xfId="0" applyNumberFormat="1" applyFont="1" applyFill="1" applyBorder="1" applyAlignment="1" applyProtection="1">
      <alignment horizontal="center" vertical="center"/>
    </xf>
    <xf numFmtId="0" fontId="18" fillId="0" borderId="13" xfId="0" applyNumberFormat="1" applyFont="1" applyFill="1" applyBorder="1" applyAlignment="1" applyProtection="1">
      <alignment horizontal="center" vertical="center"/>
    </xf>
    <xf numFmtId="0" fontId="17" fillId="0" borderId="8" xfId="0" applyNumberFormat="1" applyFont="1" applyFill="1" applyBorder="1" applyAlignment="1" applyProtection="1">
      <alignment horizontal="center" vertical="center" wrapText="1"/>
    </xf>
    <xf numFmtId="0" fontId="17" fillId="0" borderId="11" xfId="0" applyNumberFormat="1" applyFont="1" applyFill="1" applyBorder="1" applyAlignment="1" applyProtection="1">
      <alignment horizontal="center" vertical="center"/>
    </xf>
    <xf numFmtId="0" fontId="17" fillId="0" borderId="14" xfId="0" applyNumberFormat="1" applyFont="1" applyFill="1" applyBorder="1" applyAlignment="1" applyProtection="1">
      <alignment horizontal="center" vertical="center"/>
    </xf>
    <xf numFmtId="0" fontId="17" fillId="0" borderId="4" xfId="0" applyNumberFormat="1" applyFont="1" applyFill="1" applyBorder="1" applyAlignment="1" applyProtection="1">
      <alignment horizontal="center" vertical="center"/>
    </xf>
    <xf numFmtId="0" fontId="17" fillId="0" borderId="13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left"/>
    </xf>
    <xf numFmtId="0" fontId="2" fillId="0" borderId="4" xfId="0" applyNumberFormat="1" applyFont="1" applyFill="1" applyBorder="1" applyAlignment="1" applyProtection="1">
      <alignment horizontal="left"/>
    </xf>
    <xf numFmtId="0" fontId="2" fillId="0" borderId="11" xfId="0" applyNumberFormat="1" applyFont="1" applyFill="1" applyBorder="1" applyAlignment="1" applyProtection="1">
      <alignment horizontal="left" vertical="center"/>
    </xf>
    <xf numFmtId="0" fontId="2" fillId="0" borderId="0" xfId="0" applyNumberFormat="1" applyFont="1" applyFill="1" applyBorder="1" applyAlignment="1" applyProtection="1">
      <alignment horizontal="left" vertical="center"/>
    </xf>
    <xf numFmtId="0" fontId="2" fillId="0" borderId="14" xfId="0" applyNumberFormat="1" applyFont="1" applyFill="1" applyBorder="1" applyAlignment="1" applyProtection="1">
      <alignment horizontal="left" vertical="center"/>
    </xf>
    <xf numFmtId="0" fontId="2" fillId="0" borderId="4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0" fontId="2" fillId="0" borderId="8" xfId="0" applyNumberFormat="1" applyFont="1" applyFill="1" applyBorder="1" applyAlignment="1" applyProtection="1">
      <alignment horizontal="left" vertical="center"/>
    </xf>
    <xf numFmtId="0" fontId="2" fillId="0" borderId="1" xfId="0" applyNumberFormat="1" applyFont="1" applyFill="1" applyBorder="1" applyAlignment="1" applyProtection="1">
      <alignment horizontal="left" vertical="center"/>
    </xf>
    <xf numFmtId="0" fontId="2" fillId="0" borderId="7" xfId="0" applyNumberFormat="1" applyFont="1" applyFill="1" applyBorder="1" applyAlignment="1" applyProtection="1">
      <alignment horizontal="left" vertical="center"/>
    </xf>
    <xf numFmtId="0" fontId="2" fillId="0" borderId="13" xfId="0" applyNumberFormat="1" applyFont="1" applyFill="1" applyBorder="1" applyAlignment="1" applyProtection="1">
      <alignment horizontal="left" vertical="center"/>
    </xf>
    <xf numFmtId="0" fontId="2" fillId="0" borderId="1" xfId="0" applyNumberFormat="1" applyFont="1" applyFill="1" applyBorder="1" applyAlignment="1" applyProtection="1">
      <alignment horizontal="center" vertical="center" wrapText="1"/>
    </xf>
    <xf numFmtId="0" fontId="2" fillId="0" borderId="7" xfId="0" applyNumberFormat="1" applyFont="1" applyFill="1" applyBorder="1" applyAlignment="1" applyProtection="1">
      <alignment horizontal="center" vertical="center" wrapText="1"/>
    </xf>
    <xf numFmtId="0" fontId="3" fillId="0" borderId="8" xfId="0" applyNumberFormat="1" applyFont="1" applyFill="1" applyBorder="1" applyAlignment="1" applyProtection="1">
      <alignment horizontal="left"/>
    </xf>
    <xf numFmtId="0" fontId="3" fillId="0" borderId="1" xfId="0" applyNumberFormat="1" applyFont="1" applyFill="1" applyBorder="1" applyAlignment="1" applyProtection="1">
      <alignment horizontal="left"/>
    </xf>
    <xf numFmtId="0" fontId="3" fillId="0" borderId="7" xfId="0" applyNumberFormat="1" applyFont="1" applyFill="1" applyBorder="1" applyAlignment="1" applyProtection="1">
      <alignment horizontal="left"/>
    </xf>
    <xf numFmtId="0" fontId="3" fillId="0" borderId="14" xfId="0" applyNumberFormat="1" applyFont="1" applyFill="1" applyBorder="1" applyAlignment="1" applyProtection="1">
      <alignment horizontal="left"/>
    </xf>
    <xf numFmtId="0" fontId="3" fillId="0" borderId="4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1" fillId="0" borderId="11" xfId="0" applyNumberFormat="1" applyFont="1" applyFill="1" applyBorder="1" applyAlignment="1" applyProtection="1">
      <alignment horizontal="left"/>
    </xf>
    <xf numFmtId="0" fontId="1" fillId="0" borderId="0" xfId="0" applyNumberFormat="1" applyFont="1" applyFill="1" applyBorder="1" applyAlignment="1" applyProtection="1">
      <alignment horizontal="left"/>
    </xf>
    <xf numFmtId="0" fontId="1" fillId="0" borderId="10" xfId="0" applyNumberFormat="1" applyFont="1" applyFill="1" applyBorder="1" applyAlignment="1" applyProtection="1">
      <alignment horizontal="left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1" fillId="0" borderId="4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/>
    </xf>
    <xf numFmtId="0" fontId="9" fillId="0" borderId="10" xfId="0" applyNumberFormat="1" applyFont="1" applyFill="1" applyBorder="1" applyAlignment="1" applyProtection="1">
      <alignment horizontal="center"/>
    </xf>
    <xf numFmtId="0" fontId="9" fillId="0" borderId="4" xfId="0" applyNumberFormat="1" applyFont="1" applyFill="1" applyBorder="1" applyAlignment="1" applyProtection="1">
      <alignment horizontal="center"/>
    </xf>
    <xf numFmtId="0" fontId="9" fillId="0" borderId="13" xfId="0" applyNumberFormat="1" applyFont="1" applyFill="1" applyBorder="1" applyAlignment="1" applyProtection="1">
      <alignment horizontal="center"/>
    </xf>
    <xf numFmtId="0" fontId="1" fillId="0" borderId="8" xfId="0" applyNumberFormat="1" applyFont="1" applyFill="1" applyBorder="1" applyAlignment="1" applyProtection="1">
      <alignment horizontal="left"/>
    </xf>
    <xf numFmtId="0" fontId="1" fillId="0" borderId="1" xfId="0" applyNumberFormat="1" applyFont="1" applyFill="1" applyBorder="1" applyAlignment="1" applyProtection="1">
      <alignment horizontal="left"/>
    </xf>
    <xf numFmtId="0" fontId="1" fillId="0" borderId="7" xfId="0" applyNumberFormat="1" applyFont="1" applyFill="1" applyBorder="1" applyAlignment="1" applyProtection="1">
      <alignment horizontal="left"/>
    </xf>
    <xf numFmtId="0" fontId="1" fillId="0" borderId="8" xfId="0" applyNumberFormat="1" applyFont="1" applyFill="1" applyBorder="1" applyAlignment="1" applyProtection="1">
      <alignment horizontal="center"/>
    </xf>
    <xf numFmtId="0" fontId="1" fillId="0" borderId="1" xfId="0" applyNumberFormat="1" applyFont="1" applyFill="1" applyBorder="1" applyAlignment="1" applyProtection="1">
      <alignment horizontal="center"/>
    </xf>
    <xf numFmtId="0" fontId="1" fillId="0" borderId="11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>
      <alignment horizontal="center"/>
    </xf>
    <xf numFmtId="0" fontId="1" fillId="0" borderId="8" xfId="0" applyNumberFormat="1" applyFont="1" applyFill="1" applyBorder="1" applyAlignment="1" applyProtection="1">
      <alignment horizontal="center" vertical="top" wrapText="1"/>
    </xf>
    <xf numFmtId="0" fontId="1" fillId="0" borderId="1" xfId="0" applyNumberFormat="1" applyFont="1" applyFill="1" applyBorder="1" applyAlignment="1" applyProtection="1">
      <alignment horizontal="center" vertical="top" wrapText="1"/>
    </xf>
    <xf numFmtId="0" fontId="1" fillId="0" borderId="7" xfId="0" applyNumberFormat="1" applyFont="1" applyFill="1" applyBorder="1" applyAlignment="1" applyProtection="1">
      <alignment horizontal="center" vertical="top" wrapText="1"/>
    </xf>
    <xf numFmtId="0" fontId="1" fillId="0" borderId="14" xfId="0" applyNumberFormat="1" applyFont="1" applyFill="1" applyBorder="1" applyAlignment="1" applyProtection="1">
      <alignment horizontal="center" vertical="top" wrapText="1"/>
    </xf>
    <xf numFmtId="0" fontId="1" fillId="0" borderId="4" xfId="0" applyNumberFormat="1" applyFont="1" applyFill="1" applyBorder="1" applyAlignment="1" applyProtection="1">
      <alignment horizontal="center" vertical="top" wrapText="1"/>
    </xf>
    <xf numFmtId="0" fontId="1" fillId="0" borderId="13" xfId="0" applyNumberFormat="1" applyFont="1" applyFill="1" applyBorder="1" applyAlignment="1" applyProtection="1">
      <alignment horizontal="center" vertical="top" wrapText="1"/>
    </xf>
    <xf numFmtId="0" fontId="24" fillId="0" borderId="8" xfId="0" applyNumberFormat="1" applyFont="1" applyFill="1" applyBorder="1" applyAlignment="1" applyProtection="1">
      <alignment horizontal="center" vertical="center"/>
    </xf>
    <xf numFmtId="0" fontId="24" fillId="0" borderId="1" xfId="0" applyNumberFormat="1" applyFont="1" applyFill="1" applyBorder="1" applyAlignment="1" applyProtection="1">
      <alignment horizontal="center" vertical="center"/>
    </xf>
    <xf numFmtId="0" fontId="24" fillId="0" borderId="7" xfId="0" applyNumberFormat="1" applyFont="1" applyFill="1" applyBorder="1" applyAlignment="1" applyProtection="1">
      <alignment horizontal="center" vertical="center"/>
    </xf>
    <xf numFmtId="0" fontId="24" fillId="0" borderId="11" xfId="0" applyNumberFormat="1" applyFont="1" applyFill="1" applyBorder="1" applyAlignment="1" applyProtection="1">
      <alignment horizontal="center" vertical="center"/>
    </xf>
    <xf numFmtId="0" fontId="24" fillId="0" borderId="0" xfId="0" applyNumberFormat="1" applyFont="1" applyFill="1" applyBorder="1" applyAlignment="1" applyProtection="1">
      <alignment horizontal="center" vertical="center"/>
    </xf>
    <xf numFmtId="0" fontId="24" fillId="0" borderId="10" xfId="0" applyNumberFormat="1" applyFont="1" applyFill="1" applyBorder="1" applyAlignment="1" applyProtection="1">
      <alignment horizontal="center" vertical="center"/>
    </xf>
    <xf numFmtId="0" fontId="24" fillId="0" borderId="14" xfId="0" applyNumberFormat="1" applyFont="1" applyFill="1" applyBorder="1" applyAlignment="1" applyProtection="1">
      <alignment horizontal="center" vertical="center"/>
    </xf>
    <xf numFmtId="0" fontId="24" fillId="0" borderId="4" xfId="0" applyNumberFormat="1" applyFont="1" applyFill="1" applyBorder="1" applyAlignment="1" applyProtection="1">
      <alignment horizontal="center" vertical="center"/>
    </xf>
    <xf numFmtId="0" fontId="24" fillId="0" borderId="13" xfId="0" applyNumberFormat="1" applyFont="1" applyFill="1" applyBorder="1" applyAlignment="1" applyProtection="1">
      <alignment horizontal="center" vertical="center"/>
    </xf>
    <xf numFmtId="0" fontId="1" fillId="0" borderId="8" xfId="0" applyNumberFormat="1" applyFont="1" applyFill="1" applyBorder="1" applyAlignment="1" applyProtection="1">
      <alignment horizontal="center" vertical="top"/>
    </xf>
    <xf numFmtId="0" fontId="1" fillId="0" borderId="1" xfId="0" applyNumberFormat="1" applyFont="1" applyFill="1" applyBorder="1" applyAlignment="1" applyProtection="1">
      <alignment horizontal="center" vertical="top"/>
    </xf>
    <xf numFmtId="0" fontId="1" fillId="0" borderId="7" xfId="0" applyNumberFormat="1" applyFont="1" applyFill="1" applyBorder="1" applyAlignment="1" applyProtection="1">
      <alignment horizontal="center" vertical="top"/>
    </xf>
    <xf numFmtId="0" fontId="1" fillId="0" borderId="14" xfId="0" applyNumberFormat="1" applyFont="1" applyFill="1" applyBorder="1" applyAlignment="1" applyProtection="1">
      <alignment horizontal="center" vertical="top"/>
    </xf>
    <xf numFmtId="0" fontId="1" fillId="0" borderId="4" xfId="0" applyNumberFormat="1" applyFont="1" applyFill="1" applyBorder="1" applyAlignment="1" applyProtection="1">
      <alignment horizontal="center" vertical="top"/>
    </xf>
    <xf numFmtId="0" fontId="1" fillId="0" borderId="13" xfId="0" applyNumberFormat="1" applyFont="1" applyFill="1" applyBorder="1" applyAlignment="1" applyProtection="1">
      <alignment horizontal="center" vertical="top"/>
    </xf>
    <xf numFmtId="14" fontId="2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24" fillId="0" borderId="0" xfId="0" applyNumberFormat="1" applyFont="1" applyFill="1" applyBorder="1" applyAlignment="1" applyProtection="1">
      <alignment horizontal="center" vertical="center" wrapText="1"/>
    </xf>
    <xf numFmtId="0" fontId="1" fillId="0" borderId="10" xfId="0" applyNumberFormat="1" applyFont="1" applyFill="1" applyBorder="1" applyAlignment="1" applyProtection="1">
      <alignment horizontal="center" vertical="center" wrapText="1"/>
    </xf>
    <xf numFmtId="0" fontId="2" fillId="0" borderId="10" xfId="0" applyNumberFormat="1" applyFont="1" applyFill="1" applyBorder="1" applyAlignment="1" applyProtection="1">
      <alignment horizontal="left" vertical="center"/>
    </xf>
    <xf numFmtId="0" fontId="3" fillId="0" borderId="8" xfId="0" applyNumberFormat="1" applyFont="1" applyFill="1" applyBorder="1" applyAlignment="1" applyProtection="1">
      <alignment horizontal="left" vertical="center"/>
    </xf>
    <xf numFmtId="0" fontId="3" fillId="0" borderId="1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3" fillId="0" borderId="11" xfId="0" applyNumberFormat="1" applyFont="1" applyFill="1" applyBorder="1" applyAlignment="1" applyProtection="1">
      <alignment horizontal="left" vertical="center"/>
    </xf>
    <xf numFmtId="0" fontId="3" fillId="0" borderId="10" xfId="0" applyNumberFormat="1" applyFont="1" applyFill="1" applyBorder="1" applyAlignment="1" applyProtection="1">
      <alignment horizontal="left" vertical="center"/>
    </xf>
    <xf numFmtId="0" fontId="2" fillId="0" borderId="8" xfId="0" applyNumberFormat="1" applyFont="1" applyFill="1" applyBorder="1" applyAlignment="1" applyProtection="1">
      <alignment horizontal="left"/>
    </xf>
    <xf numFmtId="0" fontId="2" fillId="0" borderId="1" xfId="0" applyNumberFormat="1" applyFont="1" applyFill="1" applyBorder="1" applyAlignment="1" applyProtection="1">
      <alignment horizontal="left"/>
    </xf>
    <xf numFmtId="0" fontId="2" fillId="0" borderId="11" xfId="0" applyNumberFormat="1" applyFont="1" applyFill="1" applyBorder="1" applyAlignment="1" applyProtection="1">
      <alignment horizontal="left"/>
    </xf>
    <xf numFmtId="0" fontId="1" fillId="0" borderId="10" xfId="0" applyNumberFormat="1" applyFont="1" applyFill="1" applyBorder="1" applyAlignment="1" applyProtection="1">
      <alignment horizontal="left" vertical="center"/>
    </xf>
    <xf numFmtId="0" fontId="3" fillId="0" borderId="14" xfId="0" applyNumberFormat="1" applyFont="1" applyFill="1" applyBorder="1" applyAlignment="1" applyProtection="1">
      <alignment horizontal="left" vertical="center"/>
    </xf>
    <xf numFmtId="0" fontId="3" fillId="0" borderId="4" xfId="0" applyNumberFormat="1" applyFont="1" applyFill="1" applyBorder="1" applyAlignment="1" applyProtection="1">
      <alignment horizontal="left" vertical="center"/>
    </xf>
    <xf numFmtId="0" fontId="3" fillId="0" borderId="13" xfId="0" applyNumberFormat="1" applyFont="1" applyFill="1" applyBorder="1" applyAlignment="1" applyProtection="1">
      <alignment horizontal="left" vertical="center"/>
    </xf>
    <xf numFmtId="0" fontId="6" fillId="0" borderId="8" xfId="0" applyNumberFormat="1" applyFon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center" vertical="center"/>
    </xf>
    <xf numFmtId="0" fontId="6" fillId="0" borderId="11" xfId="0" applyNumberFormat="1" applyFont="1" applyFill="1" applyBorder="1" applyAlignment="1" applyProtection="1">
      <alignment horizontal="center" vertical="center"/>
    </xf>
    <xf numFmtId="0" fontId="6" fillId="0" borderId="10" xfId="0" applyNumberFormat="1" applyFont="1" applyFill="1" applyBorder="1" applyAlignment="1" applyProtection="1">
      <alignment horizontal="center" vertical="center"/>
    </xf>
    <xf numFmtId="0" fontId="6" fillId="0" borderId="14" xfId="0" applyNumberFormat="1" applyFont="1" applyFill="1" applyBorder="1" applyAlignment="1" applyProtection="1">
      <alignment horizontal="center" vertical="center"/>
    </xf>
    <xf numFmtId="0" fontId="6" fillId="0" borderId="13" xfId="0" applyNumberFormat="1" applyFont="1" applyFill="1" applyBorder="1" applyAlignment="1" applyProtection="1">
      <alignment horizontal="center" vertical="center"/>
    </xf>
    <xf numFmtId="0" fontId="2" fillId="0" borderId="11" xfId="0" applyNumberFormat="1" applyFont="1" applyFill="1" applyBorder="1" applyAlignment="1" applyProtection="1">
      <alignment horizontal="left" vertical="top"/>
    </xf>
    <xf numFmtId="0" fontId="2" fillId="0" borderId="0" xfId="0" applyNumberFormat="1" applyFont="1" applyFill="1" applyBorder="1" applyAlignment="1" applyProtection="1">
      <alignment horizontal="left" vertical="top"/>
    </xf>
    <xf numFmtId="0" fontId="2" fillId="0" borderId="14" xfId="0" applyNumberFormat="1" applyFont="1" applyFill="1" applyBorder="1" applyAlignment="1" applyProtection="1">
      <alignment horizontal="left" vertical="top"/>
    </xf>
    <xf numFmtId="0" fontId="2" fillId="0" borderId="4" xfId="0" applyNumberFormat="1" applyFont="1" applyFill="1" applyBorder="1" applyAlignment="1" applyProtection="1">
      <alignment horizontal="left" vertical="top"/>
    </xf>
    <xf numFmtId="0" fontId="1" fillId="0" borderId="14" xfId="0" applyNumberFormat="1" applyFont="1" applyFill="1" applyBorder="1" applyAlignment="1" applyProtection="1">
      <alignment horizontal="left" vertical="center"/>
    </xf>
    <xf numFmtId="0" fontId="1" fillId="0" borderId="4" xfId="0" applyNumberFormat="1" applyFont="1" applyFill="1" applyBorder="1" applyAlignment="1" applyProtection="1">
      <alignment horizontal="left" vertical="center"/>
    </xf>
    <xf numFmtId="0" fontId="1" fillId="0" borderId="13" xfId="0" applyNumberFormat="1" applyFont="1" applyFill="1" applyBorder="1" applyAlignment="1" applyProtection="1">
      <alignment horizontal="left" vertical="center"/>
    </xf>
    <xf numFmtId="0" fontId="3" fillId="0" borderId="8" xfId="0" applyNumberFormat="1" applyFont="1" applyFill="1" applyBorder="1" applyAlignment="1" applyProtection="1">
      <alignment horizontal="left" vertical="top"/>
    </xf>
    <xf numFmtId="0" fontId="3" fillId="0" borderId="1" xfId="0" applyNumberFormat="1" applyFont="1" applyFill="1" applyBorder="1" applyAlignment="1" applyProtection="1">
      <alignment horizontal="left" vertical="top"/>
    </xf>
    <xf numFmtId="0" fontId="3" fillId="0" borderId="11" xfId="0" applyNumberFormat="1" applyFont="1" applyFill="1" applyBorder="1" applyAlignment="1" applyProtection="1">
      <alignment horizontal="left" vertical="top"/>
    </xf>
    <xf numFmtId="0" fontId="3" fillId="0" borderId="0" xfId="0" applyNumberFormat="1" applyFont="1" applyFill="1" applyBorder="1" applyAlignment="1" applyProtection="1">
      <alignment horizontal="left" vertical="top"/>
    </xf>
    <xf numFmtId="0" fontId="1" fillId="0" borderId="7" xfId="0" applyNumberFormat="1" applyFont="1" applyFill="1" applyBorder="1" applyAlignment="1" applyProtection="1">
      <alignment horizontal="center"/>
    </xf>
    <xf numFmtId="0" fontId="1" fillId="0" borderId="10" xfId="0" applyNumberFormat="1" applyFont="1" applyFill="1" applyBorder="1" applyAlignment="1" applyProtection="1">
      <alignment horizontal="center"/>
    </xf>
    <xf numFmtId="0" fontId="1" fillId="0" borderId="14" xfId="0" applyNumberFormat="1" applyFont="1" applyFill="1" applyBorder="1" applyAlignment="1" applyProtection="1">
      <alignment horizontal="center"/>
    </xf>
    <xf numFmtId="0" fontId="1" fillId="0" borderId="4" xfId="0" applyNumberFormat="1" applyFont="1" applyFill="1" applyBorder="1" applyAlignment="1" applyProtection="1">
      <alignment horizontal="center"/>
    </xf>
    <xf numFmtId="0" fontId="1" fillId="0" borderId="13" xfId="0" applyNumberFormat="1" applyFont="1" applyFill="1" applyBorder="1" applyAlignment="1" applyProtection="1">
      <alignment horizontal="center"/>
    </xf>
    <xf numFmtId="0" fontId="2" fillId="0" borderId="8" xfId="0" applyNumberFormat="1" applyFont="1" applyFill="1" applyBorder="1" applyAlignment="1" applyProtection="1">
      <alignment horizontal="left" vertical="center" wrapText="1"/>
    </xf>
    <xf numFmtId="0" fontId="2" fillId="0" borderId="1" xfId="0" applyNumberFormat="1" applyFont="1" applyFill="1" applyBorder="1" applyAlignment="1" applyProtection="1">
      <alignment horizontal="left" vertical="center" wrapText="1"/>
    </xf>
    <xf numFmtId="0" fontId="2" fillId="0" borderId="7" xfId="0" applyNumberFormat="1" applyFont="1" applyFill="1" applyBorder="1" applyAlignment="1" applyProtection="1">
      <alignment horizontal="left" vertical="center" wrapText="1"/>
    </xf>
    <xf numFmtId="0" fontId="2" fillId="0" borderId="11" xfId="0" applyNumberFormat="1" applyFont="1" applyFill="1" applyBorder="1" applyAlignment="1" applyProtection="1">
      <alignment horizontal="left" vertical="center" wrapText="1"/>
    </xf>
    <xf numFmtId="0" fontId="2" fillId="0" borderId="0" xfId="0" applyNumberFormat="1" applyFont="1" applyFill="1" applyBorder="1" applyAlignment="1" applyProtection="1">
      <alignment horizontal="left" vertical="center" wrapText="1"/>
    </xf>
    <xf numFmtId="0" fontId="2" fillId="0" borderId="10" xfId="0" applyNumberFormat="1" applyFont="1" applyFill="1" applyBorder="1" applyAlignment="1" applyProtection="1">
      <alignment horizontal="left" vertical="center" wrapText="1"/>
    </xf>
    <xf numFmtId="0" fontId="2" fillId="0" borderId="14" xfId="0" applyNumberFormat="1" applyFont="1" applyFill="1" applyBorder="1" applyAlignment="1" applyProtection="1">
      <alignment horizontal="left" vertical="center" wrapText="1"/>
    </xf>
    <xf numFmtId="0" fontId="2" fillId="0" borderId="4" xfId="0" applyNumberFormat="1" applyFont="1" applyFill="1" applyBorder="1" applyAlignment="1" applyProtection="1">
      <alignment horizontal="left" vertical="center" wrapText="1"/>
    </xf>
    <xf numFmtId="0" fontId="2" fillId="0" borderId="13" xfId="0" applyNumberFormat="1" applyFont="1" applyFill="1" applyBorder="1" applyAlignment="1" applyProtection="1">
      <alignment horizontal="left" vertical="center" wrapText="1"/>
    </xf>
    <xf numFmtId="14" fontId="16" fillId="0" borderId="1" xfId="0" applyNumberFormat="1" applyFont="1" applyFill="1" applyBorder="1" applyAlignment="1" applyProtection="1">
      <alignment horizontal="center" vertical="center"/>
    </xf>
    <xf numFmtId="14" fontId="16" fillId="0" borderId="2" xfId="0" applyNumberFormat="1" applyFont="1" applyFill="1" applyBorder="1" applyAlignment="1" applyProtection="1">
      <alignment horizontal="center" vertical="center"/>
    </xf>
    <xf numFmtId="14" fontId="16" fillId="0" borderId="0" xfId="0" applyNumberFormat="1" applyFont="1" applyFill="1" applyBorder="1" applyAlignment="1" applyProtection="1">
      <alignment horizontal="center" vertical="center"/>
    </xf>
    <xf numFmtId="14" fontId="16" fillId="0" borderId="3" xfId="0" applyNumberFormat="1" applyFont="1" applyFill="1" applyBorder="1" applyAlignment="1" applyProtection="1">
      <alignment horizontal="center" vertical="center"/>
    </xf>
    <xf numFmtId="14" fontId="16" fillId="0" borderId="16" xfId="0" applyNumberFormat="1" applyFont="1" applyFill="1" applyBorder="1" applyAlignment="1" applyProtection="1">
      <alignment horizontal="center" vertical="center"/>
    </xf>
    <xf numFmtId="14" fontId="16" fillId="0" borderId="17" xfId="0" applyNumberFormat="1" applyFont="1" applyFill="1" applyBorder="1" applyAlignment="1" applyProtection="1">
      <alignment horizontal="center" vertical="center"/>
    </xf>
    <xf numFmtId="0" fontId="2" fillId="0" borderId="16" xfId="0" applyNumberFormat="1" applyFont="1" applyFill="1" applyBorder="1" applyAlignment="1" applyProtection="1">
      <alignment horizontal="center" vertical="center"/>
    </xf>
    <xf numFmtId="0" fontId="20" fillId="0" borderId="0" xfId="0" applyFont="1" applyBorder="1" applyAlignment="1">
      <alignment horizontal="center" vertical="top"/>
    </xf>
    <xf numFmtId="0" fontId="23" fillId="0" borderId="1" xfId="0" applyNumberFormat="1" applyFont="1" applyFill="1" applyBorder="1" applyAlignment="1" applyProtection="1">
      <alignment horizontal="left" vertical="center"/>
    </xf>
    <xf numFmtId="0" fontId="23" fillId="0" borderId="7" xfId="0" applyNumberFormat="1" applyFont="1" applyFill="1" applyBorder="1" applyAlignment="1" applyProtection="1">
      <alignment horizontal="left" vertical="center"/>
    </xf>
    <xf numFmtId="0" fontId="23" fillId="0" borderId="0" xfId="0" applyNumberFormat="1" applyFont="1" applyFill="1" applyBorder="1" applyAlignment="1" applyProtection="1">
      <alignment horizontal="left" vertical="center"/>
    </xf>
    <xf numFmtId="0" fontId="23" fillId="0" borderId="10" xfId="0" applyNumberFormat="1" applyFont="1" applyFill="1" applyBorder="1" applyAlignment="1" applyProtection="1">
      <alignment horizontal="left" vertical="center"/>
    </xf>
    <xf numFmtId="0" fontId="23" fillId="0" borderId="4" xfId="0" applyNumberFormat="1" applyFont="1" applyFill="1" applyBorder="1" applyAlignment="1" applyProtection="1">
      <alignment horizontal="left" vertical="center"/>
    </xf>
    <xf numFmtId="0" fontId="23" fillId="0" borderId="13" xfId="0" applyNumberFormat="1" applyFont="1" applyFill="1" applyBorder="1" applyAlignment="1" applyProtection="1">
      <alignment horizontal="left" vertical="center"/>
    </xf>
    <xf numFmtId="0" fontId="30" fillId="0" borderId="0" xfId="0" applyNumberFormat="1" applyFont="1" applyFill="1" applyBorder="1" applyAlignment="1" applyProtection="1">
      <alignment horizontal="center" vertical="center"/>
    </xf>
    <xf numFmtId="0" fontId="2" fillId="3" borderId="8" xfId="0" applyNumberFormat="1" applyFon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</xf>
    <xf numFmtId="0" fontId="2" fillId="3" borderId="7" xfId="0" applyNumberFormat="1" applyFont="1" applyFill="1" applyBorder="1" applyAlignment="1" applyProtection="1">
      <alignment horizontal="center" vertical="center"/>
    </xf>
    <xf numFmtId="0" fontId="2" fillId="3" borderId="11" xfId="0" applyNumberFormat="1" applyFont="1" applyFill="1" applyBorder="1" applyAlignment="1" applyProtection="1">
      <alignment horizontal="center" vertical="center"/>
    </xf>
    <xf numFmtId="0" fontId="2" fillId="3" borderId="0" xfId="0" applyNumberFormat="1" applyFont="1" applyFill="1" applyBorder="1" applyAlignment="1" applyProtection="1">
      <alignment horizontal="center" vertical="center"/>
    </xf>
    <xf numFmtId="0" fontId="2" fillId="3" borderId="10" xfId="0" applyNumberFormat="1" applyFont="1" applyFill="1" applyBorder="1" applyAlignment="1" applyProtection="1">
      <alignment horizontal="center" vertical="center"/>
    </xf>
    <xf numFmtId="0" fontId="2" fillId="3" borderId="14" xfId="0" applyNumberFormat="1" applyFont="1" applyFill="1" applyBorder="1" applyAlignment="1" applyProtection="1">
      <alignment horizontal="center" vertical="center"/>
    </xf>
    <xf numFmtId="0" fontId="2" fillId="3" borderId="4" xfId="0" applyNumberFormat="1" applyFont="1" applyFill="1" applyBorder="1" applyAlignment="1" applyProtection="1">
      <alignment horizontal="center" vertical="center"/>
    </xf>
    <xf numFmtId="0" fontId="2" fillId="3" borderId="13" xfId="0" applyNumberFormat="1" applyFont="1" applyFill="1" applyBorder="1" applyAlignment="1" applyProtection="1">
      <alignment horizontal="center" vertical="center"/>
    </xf>
  </cellXfs>
  <cellStyles count="3">
    <cellStyle name="60% - Ênfase2" xfId="1" builtinId="36"/>
    <cellStyle name="Ênfase5" xfId="2" builtinId="45"/>
    <cellStyle name="Normal" xfId="0" builtinId="0"/>
  </cellStyles>
  <dxfs count="0"/>
  <tableStyles count="0" defaultTableStyle="TableStyleMedium2" defaultPivotStyle="PivotStyleLight16"/>
  <colors>
    <mruColors>
      <color rgb="FF8501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101569</xdr:colOff>
      <xdr:row>1</xdr:row>
      <xdr:rowOff>75009</xdr:rowOff>
    </xdr:from>
    <xdr:ext cx="412836" cy="196088"/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53300" y="265509"/>
          <a:ext cx="412836" cy="19608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0</xdr:colOff>
      <xdr:row>5</xdr:row>
      <xdr:rowOff>66675</xdr:rowOff>
    </xdr:to>
    <xdr:pic>
      <xdr:nvPicPr>
        <xdr:cNvPr id="2" name="Picture 1" descr="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95250"/>
          <a:ext cx="57150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76635</xdr:colOff>
      <xdr:row>88</xdr:row>
      <xdr:rowOff>73262</xdr:rowOff>
    </xdr:from>
    <xdr:to>
      <xdr:col>76</xdr:col>
      <xdr:colOff>85396</xdr:colOff>
      <xdr:row>92</xdr:row>
      <xdr:rowOff>18236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1376" y="8744296"/>
          <a:ext cx="402899" cy="3391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88</xdr:col>
      <xdr:colOff>76621</xdr:colOff>
      <xdr:row>56</xdr:row>
      <xdr:rowOff>71385</xdr:rowOff>
    </xdr:from>
    <xdr:to>
      <xdr:col>93</xdr:col>
      <xdr:colOff>43962</xdr:colOff>
      <xdr:row>59</xdr:row>
      <xdr:rowOff>65943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1871" y="5405385"/>
          <a:ext cx="443591" cy="2803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10359</xdr:colOff>
      <xdr:row>233</xdr:row>
      <xdr:rowOff>58615</xdr:rowOff>
    </xdr:from>
    <xdr:to>
      <xdr:col>29</xdr:col>
      <xdr:colOff>29057</xdr:colOff>
      <xdr:row>235</xdr:row>
      <xdr:rowOff>46928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3721" y="23017149"/>
          <a:ext cx="412836" cy="185382"/>
        </a:xfrm>
        <a:prstGeom prst="rect">
          <a:avLst/>
        </a:prstGeom>
      </xdr:spPr>
    </xdr:pic>
    <xdr:clientData/>
  </xdr:twoCellAnchor>
  <xdr:twoCellAnchor editAs="oneCell">
    <xdr:from>
      <xdr:col>52</xdr:col>
      <xdr:colOff>70793</xdr:colOff>
      <xdr:row>259</xdr:row>
      <xdr:rowOff>86204</xdr:rowOff>
    </xdr:from>
    <xdr:to>
      <xdr:col>56</xdr:col>
      <xdr:colOff>89491</xdr:colOff>
      <xdr:row>261</xdr:row>
      <xdr:rowOff>74517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94586" y="25606635"/>
          <a:ext cx="412836" cy="185382"/>
        </a:xfrm>
        <a:prstGeom prst="rect">
          <a:avLst/>
        </a:prstGeom>
      </xdr:spPr>
    </xdr:pic>
    <xdr:clientData/>
  </xdr:twoCellAnchor>
  <xdr:twoCellAnchor editAs="oneCell">
    <xdr:from>
      <xdr:col>52</xdr:col>
      <xdr:colOff>65538</xdr:colOff>
      <xdr:row>266</xdr:row>
      <xdr:rowOff>2122</xdr:rowOff>
    </xdr:from>
    <xdr:to>
      <xdr:col>56</xdr:col>
      <xdr:colOff>84236</xdr:colOff>
      <xdr:row>267</xdr:row>
      <xdr:rowOff>88969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89331" y="26212294"/>
          <a:ext cx="412836" cy="185382"/>
        </a:xfrm>
        <a:prstGeom prst="rect">
          <a:avLst/>
        </a:prstGeom>
      </xdr:spPr>
    </xdr:pic>
    <xdr:clientData/>
  </xdr:twoCellAnchor>
  <xdr:twoCellAnchor editAs="oneCell">
    <xdr:from>
      <xdr:col>56</xdr:col>
      <xdr:colOff>66851</xdr:colOff>
      <xdr:row>287</xdr:row>
      <xdr:rowOff>10004</xdr:rowOff>
    </xdr:from>
    <xdr:to>
      <xdr:col>60</xdr:col>
      <xdr:colOff>85549</xdr:colOff>
      <xdr:row>288</xdr:row>
      <xdr:rowOff>96852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84782" y="28289401"/>
          <a:ext cx="412836" cy="185382"/>
        </a:xfrm>
        <a:prstGeom prst="rect">
          <a:avLst/>
        </a:prstGeom>
      </xdr:spPr>
    </xdr:pic>
    <xdr:clientData/>
  </xdr:twoCellAnchor>
  <xdr:twoCellAnchor editAs="oneCell">
    <xdr:from>
      <xdr:col>50</xdr:col>
      <xdr:colOff>85397</xdr:colOff>
      <xdr:row>326</xdr:row>
      <xdr:rowOff>85397</xdr:rowOff>
    </xdr:from>
    <xdr:to>
      <xdr:col>55</xdr:col>
      <xdr:colOff>5560</xdr:colOff>
      <xdr:row>328</xdr:row>
      <xdr:rowOff>73710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12121" y="32207638"/>
          <a:ext cx="412836" cy="1853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938"/>
  <sheetViews>
    <sheetView topLeftCell="A110" workbookViewId="0">
      <selection activeCell="A111" sqref="A111"/>
    </sheetView>
  </sheetViews>
  <sheetFormatPr defaultRowHeight="15" x14ac:dyDescent="0.25"/>
  <cols>
    <col min="1" max="1" width="69.7109375" bestFit="1" customWidth="1"/>
    <col min="2" max="2" width="11.140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39</v>
      </c>
    </row>
    <row r="22" spans="1:2" x14ac:dyDescent="0.25">
      <c r="A22" t="s">
        <v>41</v>
      </c>
      <c r="B22" t="s">
        <v>42</v>
      </c>
    </row>
    <row r="23" spans="1:2" x14ac:dyDescent="0.25">
      <c r="A23" t="s">
        <v>43</v>
      </c>
      <c r="B23" t="s">
        <v>42</v>
      </c>
    </row>
    <row r="24" spans="1:2" x14ac:dyDescent="0.25">
      <c r="A24" t="s">
        <v>44</v>
      </c>
      <c r="B24" t="s">
        <v>42</v>
      </c>
    </row>
    <row r="25" spans="1:2" x14ac:dyDescent="0.25">
      <c r="A25" t="s">
        <v>45</v>
      </c>
      <c r="B25" t="s">
        <v>46</v>
      </c>
    </row>
    <row r="26" spans="1:2" x14ac:dyDescent="0.25">
      <c r="A26" t="s">
        <v>47</v>
      </c>
      <c r="B26" t="s">
        <v>46</v>
      </c>
    </row>
    <row r="27" spans="1:2" x14ac:dyDescent="0.25">
      <c r="A27" t="s">
        <v>48</v>
      </c>
      <c r="B27" t="s">
        <v>49</v>
      </c>
    </row>
    <row r="28" spans="1:2" x14ac:dyDescent="0.25">
      <c r="A28" t="s">
        <v>50</v>
      </c>
      <c r="B28" t="s">
        <v>51</v>
      </c>
    </row>
    <row r="29" spans="1:2" x14ac:dyDescent="0.25">
      <c r="A29" t="s">
        <v>52</v>
      </c>
      <c r="B29" t="s">
        <v>53</v>
      </c>
    </row>
    <row r="30" spans="1:2" x14ac:dyDescent="0.25">
      <c r="A30" t="s">
        <v>54</v>
      </c>
      <c r="B30" t="s">
        <v>53</v>
      </c>
    </row>
    <row r="31" spans="1:2" x14ac:dyDescent="0.25">
      <c r="A31" t="s">
        <v>55</v>
      </c>
      <c r="B31" t="s">
        <v>56</v>
      </c>
    </row>
    <row r="32" spans="1:2" x14ac:dyDescent="0.25">
      <c r="A32" t="s">
        <v>57</v>
      </c>
      <c r="B32" t="s">
        <v>56</v>
      </c>
    </row>
    <row r="33" spans="1:2" x14ac:dyDescent="0.25">
      <c r="A33" t="s">
        <v>58</v>
      </c>
      <c r="B33" t="s">
        <v>59</v>
      </c>
    </row>
    <row r="34" spans="1:2" x14ac:dyDescent="0.25">
      <c r="A34" t="s">
        <v>60</v>
      </c>
      <c r="B34" t="s">
        <v>59</v>
      </c>
    </row>
    <row r="35" spans="1:2" x14ac:dyDescent="0.25">
      <c r="A35" t="s">
        <v>61</v>
      </c>
      <c r="B35" t="s">
        <v>62</v>
      </c>
    </row>
    <row r="36" spans="1:2" x14ac:dyDescent="0.25">
      <c r="A36" t="s">
        <v>63</v>
      </c>
      <c r="B36" t="s">
        <v>64</v>
      </c>
    </row>
    <row r="37" spans="1:2" x14ac:dyDescent="0.25">
      <c r="A37" t="s">
        <v>65</v>
      </c>
      <c r="B37" t="s">
        <v>66</v>
      </c>
    </row>
    <row r="38" spans="1:2" x14ac:dyDescent="0.25">
      <c r="A38" t="s">
        <v>67</v>
      </c>
      <c r="B38" t="s">
        <v>68</v>
      </c>
    </row>
    <row r="39" spans="1:2" x14ac:dyDescent="0.25">
      <c r="A39" t="s">
        <v>69</v>
      </c>
      <c r="B39" t="s">
        <v>70</v>
      </c>
    </row>
    <row r="40" spans="1:2" x14ac:dyDescent="0.25">
      <c r="A40" t="s">
        <v>71</v>
      </c>
      <c r="B40" t="s">
        <v>70</v>
      </c>
    </row>
    <row r="41" spans="1:2" x14ac:dyDescent="0.25">
      <c r="A41" t="s">
        <v>72</v>
      </c>
      <c r="B41" t="s">
        <v>70</v>
      </c>
    </row>
    <row r="42" spans="1:2" x14ac:dyDescent="0.25">
      <c r="A42" t="s">
        <v>73</v>
      </c>
      <c r="B42" t="s">
        <v>70</v>
      </c>
    </row>
    <row r="43" spans="1:2" x14ac:dyDescent="0.25">
      <c r="A43" t="s">
        <v>74</v>
      </c>
      <c r="B43" t="s">
        <v>75</v>
      </c>
    </row>
    <row r="44" spans="1:2" x14ac:dyDescent="0.25">
      <c r="A44" t="s">
        <v>76</v>
      </c>
      <c r="B44" t="s">
        <v>77</v>
      </c>
    </row>
    <row r="45" spans="1:2" x14ac:dyDescent="0.25">
      <c r="A45" t="s">
        <v>78</v>
      </c>
      <c r="B45" t="s">
        <v>79</v>
      </c>
    </row>
    <row r="46" spans="1:2" x14ac:dyDescent="0.25">
      <c r="A46" t="s">
        <v>80</v>
      </c>
      <c r="B46" t="s">
        <v>79</v>
      </c>
    </row>
    <row r="47" spans="1:2" x14ac:dyDescent="0.25">
      <c r="A47" t="s">
        <v>81</v>
      </c>
      <c r="B47" t="s">
        <v>82</v>
      </c>
    </row>
    <row r="48" spans="1:2" x14ac:dyDescent="0.25">
      <c r="A48" t="s">
        <v>83</v>
      </c>
      <c r="B48" t="s">
        <v>82</v>
      </c>
    </row>
    <row r="49" spans="1:2" x14ac:dyDescent="0.25">
      <c r="A49" t="s">
        <v>84</v>
      </c>
      <c r="B49" t="s">
        <v>85</v>
      </c>
    </row>
    <row r="50" spans="1:2" x14ac:dyDescent="0.25">
      <c r="A50" t="s">
        <v>86</v>
      </c>
      <c r="B50" t="s">
        <v>85</v>
      </c>
    </row>
    <row r="51" spans="1:2" x14ac:dyDescent="0.25">
      <c r="A51" t="s">
        <v>87</v>
      </c>
      <c r="B51" t="s">
        <v>88</v>
      </c>
    </row>
    <row r="52" spans="1:2" x14ac:dyDescent="0.25">
      <c r="A52" t="s">
        <v>89</v>
      </c>
      <c r="B52" t="s">
        <v>90</v>
      </c>
    </row>
    <row r="53" spans="1:2" x14ac:dyDescent="0.25">
      <c r="A53" t="s">
        <v>91</v>
      </c>
      <c r="B53" t="s">
        <v>39</v>
      </c>
    </row>
    <row r="54" spans="1:2" x14ac:dyDescent="0.25">
      <c r="A54" t="s">
        <v>92</v>
      </c>
      <c r="B54" t="s">
        <v>93</v>
      </c>
    </row>
    <row r="55" spans="1:2" x14ac:dyDescent="0.25">
      <c r="A55" t="s">
        <v>94</v>
      </c>
      <c r="B55" t="s">
        <v>95</v>
      </c>
    </row>
    <row r="56" spans="1:2" x14ac:dyDescent="0.25">
      <c r="A56" t="s">
        <v>96</v>
      </c>
      <c r="B56" t="s">
        <v>97</v>
      </c>
    </row>
    <row r="57" spans="1:2" x14ac:dyDescent="0.25">
      <c r="A57" t="s">
        <v>98</v>
      </c>
      <c r="B57" t="s">
        <v>99</v>
      </c>
    </row>
    <row r="58" spans="1:2" x14ac:dyDescent="0.25">
      <c r="A58" t="s">
        <v>100</v>
      </c>
      <c r="B58" t="s">
        <v>101</v>
      </c>
    </row>
    <row r="59" spans="1:2" x14ac:dyDescent="0.25">
      <c r="A59" t="s">
        <v>102</v>
      </c>
      <c r="B59" t="s">
        <v>103</v>
      </c>
    </row>
    <row r="60" spans="1:2" x14ac:dyDescent="0.25">
      <c r="A60" t="s">
        <v>104</v>
      </c>
      <c r="B60" t="s">
        <v>105</v>
      </c>
    </row>
    <row r="61" spans="1:2" x14ac:dyDescent="0.25">
      <c r="A61" t="s">
        <v>106</v>
      </c>
      <c r="B61" t="s">
        <v>107</v>
      </c>
    </row>
    <row r="62" spans="1:2" x14ac:dyDescent="0.25">
      <c r="A62" t="s">
        <v>108</v>
      </c>
      <c r="B62" t="s">
        <v>109</v>
      </c>
    </row>
    <row r="63" spans="1:2" x14ac:dyDescent="0.25">
      <c r="A63" t="s">
        <v>110</v>
      </c>
      <c r="B63" t="s">
        <v>111</v>
      </c>
    </row>
    <row r="64" spans="1:2" x14ac:dyDescent="0.25">
      <c r="A64" t="s">
        <v>112</v>
      </c>
      <c r="B64" t="s">
        <v>113</v>
      </c>
    </row>
    <row r="65" spans="1:2" x14ac:dyDescent="0.25">
      <c r="A65" t="s">
        <v>114</v>
      </c>
      <c r="B65" t="s">
        <v>115</v>
      </c>
    </row>
    <row r="66" spans="1:2" x14ac:dyDescent="0.25">
      <c r="A66" t="s">
        <v>116</v>
      </c>
      <c r="B66" t="s">
        <v>117</v>
      </c>
    </row>
    <row r="67" spans="1:2" x14ac:dyDescent="0.25">
      <c r="A67" t="s">
        <v>118</v>
      </c>
      <c r="B67" t="s">
        <v>119</v>
      </c>
    </row>
    <row r="68" spans="1:2" x14ac:dyDescent="0.25">
      <c r="A68" t="s">
        <v>120</v>
      </c>
      <c r="B68" t="s">
        <v>121</v>
      </c>
    </row>
    <row r="69" spans="1:2" x14ac:dyDescent="0.25">
      <c r="A69" t="s">
        <v>122</v>
      </c>
      <c r="B69" t="s">
        <v>123</v>
      </c>
    </row>
    <row r="70" spans="1:2" x14ac:dyDescent="0.25">
      <c r="A70" t="s">
        <v>124</v>
      </c>
      <c r="B70" t="s">
        <v>125</v>
      </c>
    </row>
    <row r="71" spans="1:2" x14ac:dyDescent="0.25">
      <c r="A71" t="s">
        <v>126</v>
      </c>
      <c r="B71" t="s">
        <v>127</v>
      </c>
    </row>
    <row r="72" spans="1:2" x14ac:dyDescent="0.25">
      <c r="A72" t="s">
        <v>128</v>
      </c>
      <c r="B72" t="s">
        <v>129</v>
      </c>
    </row>
    <row r="73" spans="1:2" x14ac:dyDescent="0.25">
      <c r="A73" t="s">
        <v>130</v>
      </c>
      <c r="B73" t="s">
        <v>131</v>
      </c>
    </row>
    <row r="74" spans="1:2" x14ac:dyDescent="0.25">
      <c r="A74" t="s">
        <v>132</v>
      </c>
      <c r="B74" t="s">
        <v>133</v>
      </c>
    </row>
    <row r="75" spans="1:2" x14ac:dyDescent="0.25">
      <c r="A75" t="s">
        <v>134</v>
      </c>
      <c r="B75" t="s">
        <v>135</v>
      </c>
    </row>
    <row r="76" spans="1:2" x14ac:dyDescent="0.25">
      <c r="A76" t="s">
        <v>136</v>
      </c>
      <c r="B76" t="s">
        <v>137</v>
      </c>
    </row>
    <row r="77" spans="1:2" x14ac:dyDescent="0.25">
      <c r="A77" t="s">
        <v>138</v>
      </c>
      <c r="B77" t="s">
        <v>135</v>
      </c>
    </row>
    <row r="78" spans="1:2" x14ac:dyDescent="0.25">
      <c r="A78" t="s">
        <v>139</v>
      </c>
      <c r="B78" t="s">
        <v>135</v>
      </c>
    </row>
    <row r="79" spans="1:2" x14ac:dyDescent="0.25">
      <c r="A79" t="s">
        <v>140</v>
      </c>
      <c r="B79" t="s">
        <v>141</v>
      </c>
    </row>
    <row r="80" spans="1:2" x14ac:dyDescent="0.25">
      <c r="A80" t="s">
        <v>142</v>
      </c>
      <c r="B80" t="s">
        <v>141</v>
      </c>
    </row>
    <row r="81" spans="1:2" x14ac:dyDescent="0.25">
      <c r="A81" t="s">
        <v>143</v>
      </c>
      <c r="B81" t="s">
        <v>141</v>
      </c>
    </row>
    <row r="82" spans="1:2" x14ac:dyDescent="0.25">
      <c r="A82" t="s">
        <v>144</v>
      </c>
      <c r="B82" t="s">
        <v>141</v>
      </c>
    </row>
    <row r="83" spans="1:2" x14ac:dyDescent="0.25">
      <c r="A83" t="s">
        <v>145</v>
      </c>
      <c r="B83" t="s">
        <v>141</v>
      </c>
    </row>
    <row r="84" spans="1:2" x14ac:dyDescent="0.25">
      <c r="A84" t="s">
        <v>146</v>
      </c>
      <c r="B84" t="s">
        <v>141</v>
      </c>
    </row>
    <row r="85" spans="1:2" x14ac:dyDescent="0.25">
      <c r="A85" t="s">
        <v>147</v>
      </c>
      <c r="B85" t="s">
        <v>141</v>
      </c>
    </row>
    <row r="86" spans="1:2" x14ac:dyDescent="0.25">
      <c r="A86" t="s">
        <v>148</v>
      </c>
      <c r="B86" t="s">
        <v>141</v>
      </c>
    </row>
    <row r="87" spans="1:2" x14ac:dyDescent="0.25">
      <c r="A87" t="s">
        <v>149</v>
      </c>
      <c r="B87" t="s">
        <v>150</v>
      </c>
    </row>
    <row r="88" spans="1:2" x14ac:dyDescent="0.25">
      <c r="A88" t="s">
        <v>151</v>
      </c>
      <c r="B88" t="s">
        <v>150</v>
      </c>
    </row>
    <row r="89" spans="1:2" x14ac:dyDescent="0.25">
      <c r="A89" t="s">
        <v>152</v>
      </c>
      <c r="B89" t="s">
        <v>153</v>
      </c>
    </row>
    <row r="90" spans="1:2" x14ac:dyDescent="0.25">
      <c r="A90" t="s">
        <v>154</v>
      </c>
      <c r="B90" t="s">
        <v>150</v>
      </c>
    </row>
    <row r="91" spans="1:2" x14ac:dyDescent="0.25">
      <c r="A91" t="s">
        <v>155</v>
      </c>
      <c r="B91" t="s">
        <v>153</v>
      </c>
    </row>
    <row r="92" spans="1:2" x14ac:dyDescent="0.25">
      <c r="A92" t="s">
        <v>156</v>
      </c>
      <c r="B92" t="s">
        <v>157</v>
      </c>
    </row>
    <row r="93" spans="1:2" x14ac:dyDescent="0.25">
      <c r="A93" t="s">
        <v>158</v>
      </c>
      <c r="B93" t="s">
        <v>159</v>
      </c>
    </row>
    <row r="94" spans="1:2" x14ac:dyDescent="0.25">
      <c r="A94" t="s">
        <v>160</v>
      </c>
      <c r="B94" t="s">
        <v>161</v>
      </c>
    </row>
    <row r="95" spans="1:2" x14ac:dyDescent="0.25">
      <c r="A95" t="s">
        <v>162</v>
      </c>
      <c r="B95" t="s">
        <v>163</v>
      </c>
    </row>
    <row r="96" spans="1:2" x14ac:dyDescent="0.25">
      <c r="A96" t="s">
        <v>164</v>
      </c>
      <c r="B96" t="s">
        <v>165</v>
      </c>
    </row>
    <row r="97" spans="1:2" x14ac:dyDescent="0.25">
      <c r="A97" t="s">
        <v>166</v>
      </c>
      <c r="B97" t="s">
        <v>167</v>
      </c>
    </row>
    <row r="98" spans="1:2" x14ac:dyDescent="0.25">
      <c r="A98" t="s">
        <v>168</v>
      </c>
      <c r="B98" t="s">
        <v>169</v>
      </c>
    </row>
    <row r="99" spans="1:2" x14ac:dyDescent="0.25">
      <c r="A99" t="s">
        <v>170</v>
      </c>
      <c r="B99" t="s">
        <v>171</v>
      </c>
    </row>
    <row r="100" spans="1:2" x14ac:dyDescent="0.25">
      <c r="A100" t="s">
        <v>172</v>
      </c>
      <c r="B100" t="s">
        <v>173</v>
      </c>
    </row>
    <row r="101" spans="1:2" x14ac:dyDescent="0.25">
      <c r="A101" t="s">
        <v>174</v>
      </c>
      <c r="B101" t="s">
        <v>175</v>
      </c>
    </row>
    <row r="102" spans="1:2" x14ac:dyDescent="0.25">
      <c r="A102" t="s">
        <v>176</v>
      </c>
      <c r="B102" t="s">
        <v>177</v>
      </c>
    </row>
    <row r="103" spans="1:2" x14ac:dyDescent="0.25">
      <c r="A103" t="s">
        <v>178</v>
      </c>
      <c r="B103" t="s">
        <v>179</v>
      </c>
    </row>
    <row r="104" spans="1:2" x14ac:dyDescent="0.25">
      <c r="A104" t="s">
        <v>180</v>
      </c>
      <c r="B104" t="s">
        <v>177</v>
      </c>
    </row>
    <row r="105" spans="1:2" x14ac:dyDescent="0.25">
      <c r="A105" t="s">
        <v>181</v>
      </c>
      <c r="B105" t="s">
        <v>177</v>
      </c>
    </row>
    <row r="106" spans="1:2" x14ac:dyDescent="0.25">
      <c r="A106" t="s">
        <v>182</v>
      </c>
      <c r="B106" t="s">
        <v>183</v>
      </c>
    </row>
    <row r="107" spans="1:2" x14ac:dyDescent="0.25">
      <c r="A107" t="s">
        <v>184</v>
      </c>
      <c r="B107" t="s">
        <v>185</v>
      </c>
    </row>
    <row r="108" spans="1:2" x14ac:dyDescent="0.25">
      <c r="A108" t="s">
        <v>186</v>
      </c>
      <c r="B108" t="s">
        <v>177</v>
      </c>
    </row>
    <row r="109" spans="1:2" x14ac:dyDescent="0.25">
      <c r="A109" t="s">
        <v>187</v>
      </c>
      <c r="B109" t="s">
        <v>150</v>
      </c>
    </row>
    <row r="110" spans="1:2" x14ac:dyDescent="0.25">
      <c r="A110" t="s">
        <v>188</v>
      </c>
      <c r="B110" t="s">
        <v>150</v>
      </c>
    </row>
    <row r="111" spans="1:2" x14ac:dyDescent="0.25">
      <c r="A111" t="s">
        <v>189</v>
      </c>
      <c r="B111" t="s">
        <v>141</v>
      </c>
    </row>
    <row r="112" spans="1:2" x14ac:dyDescent="0.25">
      <c r="A112" t="s">
        <v>190</v>
      </c>
      <c r="B112" t="s">
        <v>97</v>
      </c>
    </row>
    <row r="113" spans="1:2" x14ac:dyDescent="0.25">
      <c r="A113" t="s">
        <v>191</v>
      </c>
      <c r="B113" t="s">
        <v>135</v>
      </c>
    </row>
    <row r="114" spans="1:2" x14ac:dyDescent="0.25">
      <c r="A114" t="s">
        <v>192</v>
      </c>
      <c r="B114" t="s">
        <v>193</v>
      </c>
    </row>
    <row r="115" spans="1:2" x14ac:dyDescent="0.25">
      <c r="A115" t="s">
        <v>194</v>
      </c>
      <c r="B115" t="s">
        <v>195</v>
      </c>
    </row>
    <row r="116" spans="1:2" x14ac:dyDescent="0.25">
      <c r="A116" t="s">
        <v>196</v>
      </c>
      <c r="B116" t="s">
        <v>197</v>
      </c>
    </row>
    <row r="117" spans="1:2" x14ac:dyDescent="0.25">
      <c r="A117" t="s">
        <v>198</v>
      </c>
      <c r="B117" t="s">
        <v>199</v>
      </c>
    </row>
    <row r="118" spans="1:2" x14ac:dyDescent="0.25">
      <c r="A118" t="s">
        <v>200</v>
      </c>
      <c r="B118" t="s">
        <v>201</v>
      </c>
    </row>
    <row r="119" spans="1:2" x14ac:dyDescent="0.25">
      <c r="A119" t="s">
        <v>202</v>
      </c>
      <c r="B119" t="s">
        <v>203</v>
      </c>
    </row>
    <row r="120" spans="1:2" x14ac:dyDescent="0.25">
      <c r="A120" t="s">
        <v>204</v>
      </c>
      <c r="B120" t="s">
        <v>205</v>
      </c>
    </row>
    <row r="121" spans="1:2" x14ac:dyDescent="0.25">
      <c r="A121" t="s">
        <v>206</v>
      </c>
      <c r="B121" t="s">
        <v>207</v>
      </c>
    </row>
    <row r="122" spans="1:2" x14ac:dyDescent="0.25">
      <c r="A122" t="s">
        <v>351</v>
      </c>
      <c r="B122" t="s">
        <v>352</v>
      </c>
    </row>
    <row r="123" spans="1:2" x14ac:dyDescent="0.25">
      <c r="A123" t="s">
        <v>208</v>
      </c>
      <c r="B123" t="s">
        <v>209</v>
      </c>
    </row>
    <row r="124" spans="1:2" x14ac:dyDescent="0.25">
      <c r="A124" t="s">
        <v>210</v>
      </c>
      <c r="B124" t="s">
        <v>211</v>
      </c>
    </row>
    <row r="125" spans="1:2" x14ac:dyDescent="0.25">
      <c r="A125" t="s">
        <v>212</v>
      </c>
      <c r="B125" t="s">
        <v>213</v>
      </c>
    </row>
    <row r="126" spans="1:2" x14ac:dyDescent="0.25">
      <c r="A126" t="s">
        <v>214</v>
      </c>
      <c r="B126" t="s">
        <v>215</v>
      </c>
    </row>
    <row r="127" spans="1:2" x14ac:dyDescent="0.25">
      <c r="A127" t="s">
        <v>216</v>
      </c>
      <c r="B127" t="s">
        <v>37</v>
      </c>
    </row>
    <row r="128" spans="1:2" x14ac:dyDescent="0.25">
      <c r="A128" t="s">
        <v>217</v>
      </c>
      <c r="B128" t="s">
        <v>218</v>
      </c>
    </row>
    <row r="129" spans="1:2" x14ac:dyDescent="0.25">
      <c r="A129" t="s">
        <v>219</v>
      </c>
      <c r="B129" t="s">
        <v>220</v>
      </c>
    </row>
    <row r="130" spans="1:2" x14ac:dyDescent="0.25">
      <c r="A130" t="s">
        <v>221</v>
      </c>
      <c r="B130" t="s">
        <v>49</v>
      </c>
    </row>
    <row r="131" spans="1:2" x14ac:dyDescent="0.25">
      <c r="A131" t="s">
        <v>222</v>
      </c>
      <c r="B131" t="s">
        <v>42</v>
      </c>
    </row>
    <row r="132" spans="1:2" x14ac:dyDescent="0.25">
      <c r="A132" t="s">
        <v>223</v>
      </c>
      <c r="B132" t="s">
        <v>46</v>
      </c>
    </row>
    <row r="133" spans="1:2" x14ac:dyDescent="0.25">
      <c r="A133" t="s">
        <v>224</v>
      </c>
      <c r="B133" t="s">
        <v>46</v>
      </c>
    </row>
    <row r="134" spans="1:2" x14ac:dyDescent="0.25">
      <c r="A134" t="s">
        <v>225</v>
      </c>
      <c r="B134" t="s">
        <v>46</v>
      </c>
    </row>
    <row r="135" spans="1:2" x14ac:dyDescent="0.25">
      <c r="A135" t="s">
        <v>226</v>
      </c>
      <c r="B135" t="s">
        <v>227</v>
      </c>
    </row>
    <row r="136" spans="1:2" x14ac:dyDescent="0.25">
      <c r="A136" t="s">
        <v>228</v>
      </c>
      <c r="B136" t="s">
        <v>229</v>
      </c>
    </row>
    <row r="137" spans="1:2" x14ac:dyDescent="0.25">
      <c r="A137" t="s">
        <v>230</v>
      </c>
      <c r="B137" t="s">
        <v>229</v>
      </c>
    </row>
    <row r="138" spans="1:2" x14ac:dyDescent="0.25">
      <c r="A138" t="s">
        <v>231</v>
      </c>
      <c r="B138" t="s">
        <v>229</v>
      </c>
    </row>
    <row r="139" spans="1:2" x14ac:dyDescent="0.25">
      <c r="A139" t="s">
        <v>232</v>
      </c>
      <c r="B139" t="s">
        <v>53</v>
      </c>
    </row>
    <row r="140" spans="1:2" x14ac:dyDescent="0.25">
      <c r="A140" t="s">
        <v>233</v>
      </c>
      <c r="B140" t="s">
        <v>53</v>
      </c>
    </row>
    <row r="141" spans="1:2" x14ac:dyDescent="0.25">
      <c r="A141" t="s">
        <v>234</v>
      </c>
      <c r="B141" t="s">
        <v>56</v>
      </c>
    </row>
    <row r="142" spans="1:2" x14ac:dyDescent="0.25">
      <c r="A142" t="s">
        <v>235</v>
      </c>
      <c r="B142" t="s">
        <v>56</v>
      </c>
    </row>
    <row r="143" spans="1:2" x14ac:dyDescent="0.25">
      <c r="A143" t="s">
        <v>236</v>
      </c>
      <c r="B143" t="s">
        <v>56</v>
      </c>
    </row>
    <row r="144" spans="1:2" x14ac:dyDescent="0.25">
      <c r="A144" t="s">
        <v>237</v>
      </c>
      <c r="B144" t="s">
        <v>238</v>
      </c>
    </row>
    <row r="145" spans="1:2" x14ac:dyDescent="0.25">
      <c r="A145" t="s">
        <v>239</v>
      </c>
      <c r="B145" t="s">
        <v>238</v>
      </c>
    </row>
    <row r="146" spans="1:2" x14ac:dyDescent="0.25">
      <c r="A146" t="s">
        <v>240</v>
      </c>
      <c r="B146" t="s">
        <v>64</v>
      </c>
    </row>
    <row r="147" spans="1:2" x14ac:dyDescent="0.25">
      <c r="A147" t="s">
        <v>241</v>
      </c>
      <c r="B147" t="s">
        <v>64</v>
      </c>
    </row>
    <row r="148" spans="1:2" x14ac:dyDescent="0.25">
      <c r="A148" t="s">
        <v>242</v>
      </c>
      <c r="B148" t="s">
        <v>64</v>
      </c>
    </row>
    <row r="149" spans="1:2" x14ac:dyDescent="0.25">
      <c r="A149" t="s">
        <v>243</v>
      </c>
      <c r="B149" t="s">
        <v>66</v>
      </c>
    </row>
    <row r="150" spans="1:2" x14ac:dyDescent="0.25">
      <c r="A150" t="s">
        <v>244</v>
      </c>
      <c r="B150" t="s">
        <v>62</v>
      </c>
    </row>
    <row r="151" spans="1:2" x14ac:dyDescent="0.25">
      <c r="A151" t="s">
        <v>245</v>
      </c>
      <c r="B151" t="s">
        <v>39</v>
      </c>
    </row>
    <row r="152" spans="1:2" x14ac:dyDescent="0.25">
      <c r="A152" t="s">
        <v>246</v>
      </c>
      <c r="B152" t="s">
        <v>68</v>
      </c>
    </row>
    <row r="153" spans="1:2" x14ac:dyDescent="0.25">
      <c r="A153" t="s">
        <v>247</v>
      </c>
      <c r="B153" t="s">
        <v>70</v>
      </c>
    </row>
    <row r="154" spans="1:2" x14ac:dyDescent="0.25">
      <c r="A154" t="s">
        <v>248</v>
      </c>
      <c r="B154" t="s">
        <v>79</v>
      </c>
    </row>
    <row r="155" spans="1:2" x14ac:dyDescent="0.25">
      <c r="A155" t="s">
        <v>249</v>
      </c>
      <c r="B155" t="s">
        <v>82</v>
      </c>
    </row>
    <row r="156" spans="1:2" x14ac:dyDescent="0.25">
      <c r="A156" t="s">
        <v>250</v>
      </c>
      <c r="B156" t="s">
        <v>251</v>
      </c>
    </row>
    <row r="157" spans="1:2" x14ac:dyDescent="0.25">
      <c r="A157" t="s">
        <v>252</v>
      </c>
      <c r="B157" t="s">
        <v>253</v>
      </c>
    </row>
    <row r="158" spans="1:2" x14ac:dyDescent="0.25">
      <c r="A158" t="s">
        <v>254</v>
      </c>
      <c r="B158" t="s">
        <v>255</v>
      </c>
    </row>
    <row r="159" spans="1:2" x14ac:dyDescent="0.25">
      <c r="A159" t="s">
        <v>256</v>
      </c>
      <c r="B159" t="s">
        <v>39</v>
      </c>
    </row>
    <row r="160" spans="1:2" x14ac:dyDescent="0.25">
      <c r="A160" t="s">
        <v>257</v>
      </c>
      <c r="B160" t="s">
        <v>258</v>
      </c>
    </row>
    <row r="161" spans="1:2" x14ac:dyDescent="0.25">
      <c r="A161" t="s">
        <v>259</v>
      </c>
      <c r="B161" t="s">
        <v>260</v>
      </c>
    </row>
    <row r="162" spans="1:2" x14ac:dyDescent="0.25">
      <c r="A162" t="s">
        <v>261</v>
      </c>
      <c r="B162" t="s">
        <v>105</v>
      </c>
    </row>
    <row r="163" spans="1:2" x14ac:dyDescent="0.25">
      <c r="A163" t="s">
        <v>262</v>
      </c>
      <c r="B163" t="s">
        <v>263</v>
      </c>
    </row>
    <row r="164" spans="1:2" x14ac:dyDescent="0.25">
      <c r="A164" t="s">
        <v>264</v>
      </c>
      <c r="B164" t="s">
        <v>265</v>
      </c>
    </row>
    <row r="165" spans="1:2" x14ac:dyDescent="0.25">
      <c r="A165" t="s">
        <v>266</v>
      </c>
      <c r="B165" t="s">
        <v>107</v>
      </c>
    </row>
    <row r="166" spans="1:2" x14ac:dyDescent="0.25">
      <c r="A166" t="s">
        <v>267</v>
      </c>
      <c r="B166" t="s">
        <v>268</v>
      </c>
    </row>
    <row r="167" spans="1:2" x14ac:dyDescent="0.25">
      <c r="A167" t="s">
        <v>269</v>
      </c>
      <c r="B167" t="s">
        <v>270</v>
      </c>
    </row>
    <row r="168" spans="1:2" x14ac:dyDescent="0.25">
      <c r="A168" t="s">
        <v>271</v>
      </c>
      <c r="B168" t="s">
        <v>272</v>
      </c>
    </row>
    <row r="169" spans="1:2" x14ac:dyDescent="0.25">
      <c r="A169" t="s">
        <v>273</v>
      </c>
      <c r="B169" t="s">
        <v>274</v>
      </c>
    </row>
    <row r="170" spans="1:2" x14ac:dyDescent="0.25">
      <c r="A170" t="s">
        <v>275</v>
      </c>
      <c r="B170" t="s">
        <v>276</v>
      </c>
    </row>
    <row r="171" spans="1:2" x14ac:dyDescent="0.25">
      <c r="A171" t="s">
        <v>277</v>
      </c>
      <c r="B171" t="s">
        <v>278</v>
      </c>
    </row>
    <row r="172" spans="1:2" x14ac:dyDescent="0.25">
      <c r="A172" t="s">
        <v>279</v>
      </c>
      <c r="B172" t="s">
        <v>280</v>
      </c>
    </row>
    <row r="173" spans="1:2" x14ac:dyDescent="0.25">
      <c r="A173" t="s">
        <v>281</v>
      </c>
      <c r="B173" t="s">
        <v>280</v>
      </c>
    </row>
    <row r="174" spans="1:2" x14ac:dyDescent="0.25">
      <c r="A174" t="s">
        <v>282</v>
      </c>
      <c r="B174" t="s">
        <v>133</v>
      </c>
    </row>
    <row r="175" spans="1:2" x14ac:dyDescent="0.25">
      <c r="A175" t="s">
        <v>283</v>
      </c>
      <c r="B175" t="s">
        <v>133</v>
      </c>
    </row>
    <row r="176" spans="1:2" x14ac:dyDescent="0.25">
      <c r="A176" t="s">
        <v>284</v>
      </c>
      <c r="B176" t="s">
        <v>133</v>
      </c>
    </row>
    <row r="177" spans="1:2" x14ac:dyDescent="0.25">
      <c r="A177" t="s">
        <v>285</v>
      </c>
      <c r="B177" t="s">
        <v>133</v>
      </c>
    </row>
    <row r="178" spans="1:2" x14ac:dyDescent="0.25">
      <c r="A178" t="s">
        <v>286</v>
      </c>
      <c r="B178" t="s">
        <v>135</v>
      </c>
    </row>
    <row r="179" spans="1:2" x14ac:dyDescent="0.25">
      <c r="A179" t="s">
        <v>287</v>
      </c>
      <c r="B179" t="s">
        <v>135</v>
      </c>
    </row>
    <row r="180" spans="1:2" x14ac:dyDescent="0.25">
      <c r="A180" t="s">
        <v>288</v>
      </c>
      <c r="B180" t="s">
        <v>137</v>
      </c>
    </row>
    <row r="181" spans="1:2" x14ac:dyDescent="0.25">
      <c r="A181" t="s">
        <v>289</v>
      </c>
      <c r="B181" t="s">
        <v>137</v>
      </c>
    </row>
    <row r="182" spans="1:2" x14ac:dyDescent="0.25">
      <c r="A182" t="s">
        <v>290</v>
      </c>
      <c r="B182" t="s">
        <v>135</v>
      </c>
    </row>
    <row r="183" spans="1:2" x14ac:dyDescent="0.25">
      <c r="A183" t="s">
        <v>291</v>
      </c>
      <c r="B183" t="s">
        <v>141</v>
      </c>
    </row>
    <row r="184" spans="1:2" x14ac:dyDescent="0.25">
      <c r="A184" t="s">
        <v>292</v>
      </c>
      <c r="B184" t="s">
        <v>141</v>
      </c>
    </row>
    <row r="185" spans="1:2" x14ac:dyDescent="0.25">
      <c r="A185" t="s">
        <v>293</v>
      </c>
      <c r="B185" t="s">
        <v>141</v>
      </c>
    </row>
    <row r="186" spans="1:2" x14ac:dyDescent="0.25">
      <c r="A186" t="s">
        <v>294</v>
      </c>
      <c r="B186" t="s">
        <v>141</v>
      </c>
    </row>
    <row r="187" spans="1:2" x14ac:dyDescent="0.25">
      <c r="A187" t="s">
        <v>295</v>
      </c>
      <c r="B187" t="s">
        <v>141</v>
      </c>
    </row>
    <row r="188" spans="1:2" x14ac:dyDescent="0.25">
      <c r="A188" t="s">
        <v>296</v>
      </c>
      <c r="B188" t="s">
        <v>141</v>
      </c>
    </row>
    <row r="189" spans="1:2" x14ac:dyDescent="0.25">
      <c r="A189" t="s">
        <v>297</v>
      </c>
      <c r="B189" t="s">
        <v>141</v>
      </c>
    </row>
    <row r="190" spans="1:2" x14ac:dyDescent="0.25">
      <c r="A190" t="s">
        <v>298</v>
      </c>
      <c r="B190" t="s">
        <v>150</v>
      </c>
    </row>
    <row r="191" spans="1:2" x14ac:dyDescent="0.25">
      <c r="A191" t="s">
        <v>299</v>
      </c>
      <c r="B191" t="s">
        <v>150</v>
      </c>
    </row>
    <row r="192" spans="1:2" x14ac:dyDescent="0.25">
      <c r="A192" t="s">
        <v>300</v>
      </c>
      <c r="B192" t="s">
        <v>153</v>
      </c>
    </row>
    <row r="193" spans="1:2" x14ac:dyDescent="0.25">
      <c r="A193" t="s">
        <v>301</v>
      </c>
      <c r="B193" t="s">
        <v>153</v>
      </c>
    </row>
    <row r="194" spans="1:2" x14ac:dyDescent="0.25">
      <c r="A194" t="s">
        <v>302</v>
      </c>
      <c r="B194" t="s">
        <v>153</v>
      </c>
    </row>
    <row r="195" spans="1:2" x14ac:dyDescent="0.25">
      <c r="A195" t="s">
        <v>303</v>
      </c>
      <c r="B195" t="s">
        <v>153</v>
      </c>
    </row>
    <row r="196" spans="1:2" x14ac:dyDescent="0.25">
      <c r="A196" t="s">
        <v>304</v>
      </c>
      <c r="B196" t="s">
        <v>305</v>
      </c>
    </row>
    <row r="197" spans="1:2" x14ac:dyDescent="0.25">
      <c r="A197" t="s">
        <v>306</v>
      </c>
      <c r="B197" t="s">
        <v>307</v>
      </c>
    </row>
    <row r="198" spans="1:2" x14ac:dyDescent="0.25">
      <c r="A198" t="s">
        <v>308</v>
      </c>
      <c r="B198" t="s">
        <v>309</v>
      </c>
    </row>
    <row r="199" spans="1:2" x14ac:dyDescent="0.25">
      <c r="A199" t="s">
        <v>310</v>
      </c>
      <c r="B199" t="s">
        <v>311</v>
      </c>
    </row>
    <row r="200" spans="1:2" x14ac:dyDescent="0.25">
      <c r="A200" t="s">
        <v>312</v>
      </c>
      <c r="B200" t="s">
        <v>313</v>
      </c>
    </row>
    <row r="201" spans="1:2" x14ac:dyDescent="0.25">
      <c r="A201" t="s">
        <v>314</v>
      </c>
      <c r="B201" t="s">
        <v>315</v>
      </c>
    </row>
    <row r="202" spans="1:2" x14ac:dyDescent="0.25">
      <c r="A202" t="s">
        <v>316</v>
      </c>
      <c r="B202" t="s">
        <v>317</v>
      </c>
    </row>
    <row r="203" spans="1:2" x14ac:dyDescent="0.25">
      <c r="A203" t="s">
        <v>318</v>
      </c>
      <c r="B203" t="s">
        <v>177</v>
      </c>
    </row>
    <row r="204" spans="1:2" x14ac:dyDescent="0.25">
      <c r="A204" t="s">
        <v>319</v>
      </c>
      <c r="B204" t="s">
        <v>177</v>
      </c>
    </row>
    <row r="205" spans="1:2" x14ac:dyDescent="0.25">
      <c r="A205" t="s">
        <v>320</v>
      </c>
      <c r="B205" t="s">
        <v>177</v>
      </c>
    </row>
    <row r="206" spans="1:2" x14ac:dyDescent="0.25">
      <c r="A206" t="s">
        <v>321</v>
      </c>
      <c r="B206" t="s">
        <v>177</v>
      </c>
    </row>
    <row r="207" spans="1:2" x14ac:dyDescent="0.25">
      <c r="A207" t="s">
        <v>322</v>
      </c>
      <c r="B207" t="s">
        <v>323</v>
      </c>
    </row>
    <row r="208" spans="1:2" x14ac:dyDescent="0.25">
      <c r="A208" t="s">
        <v>324</v>
      </c>
      <c r="B208" t="s">
        <v>325</v>
      </c>
    </row>
    <row r="209" spans="1:2" x14ac:dyDescent="0.25">
      <c r="A209" t="s">
        <v>326</v>
      </c>
      <c r="B209" t="s">
        <v>56</v>
      </c>
    </row>
    <row r="210" spans="1:2" x14ac:dyDescent="0.25">
      <c r="A210" t="s">
        <v>327</v>
      </c>
      <c r="B210" t="s">
        <v>328</v>
      </c>
    </row>
    <row r="211" spans="1:2" x14ac:dyDescent="0.25">
      <c r="A211" t="s">
        <v>329</v>
      </c>
      <c r="B211" t="s">
        <v>75</v>
      </c>
    </row>
    <row r="212" spans="1:2" x14ac:dyDescent="0.25">
      <c r="A212" t="s">
        <v>330</v>
      </c>
      <c r="B212" t="s">
        <v>331</v>
      </c>
    </row>
    <row r="213" spans="1:2" x14ac:dyDescent="0.25">
      <c r="A213" t="s">
        <v>332</v>
      </c>
      <c r="B213" t="s">
        <v>64</v>
      </c>
    </row>
    <row r="214" spans="1:2" x14ac:dyDescent="0.25">
      <c r="A214" t="s">
        <v>333</v>
      </c>
      <c r="B214" t="s">
        <v>334</v>
      </c>
    </row>
    <row r="215" spans="1:2" x14ac:dyDescent="0.25">
      <c r="A215" t="s">
        <v>335</v>
      </c>
      <c r="B215" t="s">
        <v>336</v>
      </c>
    </row>
    <row r="216" spans="1:2" x14ac:dyDescent="0.25">
      <c r="A216" t="s">
        <v>337</v>
      </c>
      <c r="B216" t="s">
        <v>338</v>
      </c>
    </row>
    <row r="217" spans="1:2" x14ac:dyDescent="0.25">
      <c r="A217" t="s">
        <v>339</v>
      </c>
      <c r="B217" t="s">
        <v>340</v>
      </c>
    </row>
    <row r="218" spans="1:2" x14ac:dyDescent="0.25">
      <c r="A218" t="s">
        <v>341</v>
      </c>
      <c r="B218" t="s">
        <v>342</v>
      </c>
    </row>
    <row r="219" spans="1:2" x14ac:dyDescent="0.25">
      <c r="A219" t="s">
        <v>343</v>
      </c>
      <c r="B219" t="s">
        <v>344</v>
      </c>
    </row>
    <row r="220" spans="1:2" x14ac:dyDescent="0.25">
      <c r="A220" t="s">
        <v>345</v>
      </c>
      <c r="B220" t="s">
        <v>346</v>
      </c>
    </row>
    <row r="221" spans="1:2" x14ac:dyDescent="0.25">
      <c r="A221" t="s">
        <v>347</v>
      </c>
      <c r="B221" t="s">
        <v>348</v>
      </c>
    </row>
    <row r="222" spans="1:2" x14ac:dyDescent="0.25">
      <c r="A222" t="s">
        <v>349</v>
      </c>
      <c r="B222" t="s">
        <v>350</v>
      </c>
    </row>
    <row r="223" spans="1:2" x14ac:dyDescent="0.25">
      <c r="A223" t="s">
        <v>351</v>
      </c>
      <c r="B223" t="s">
        <v>352</v>
      </c>
    </row>
    <row r="224" spans="1:2" x14ac:dyDescent="0.25">
      <c r="A224" t="s">
        <v>353</v>
      </c>
      <c r="B224" t="s">
        <v>354</v>
      </c>
    </row>
    <row r="225" spans="1:2" x14ac:dyDescent="0.25">
      <c r="A225" t="s">
        <v>355</v>
      </c>
      <c r="B225" t="s">
        <v>27</v>
      </c>
    </row>
    <row r="226" spans="1:2" x14ac:dyDescent="0.25">
      <c r="A226" t="s">
        <v>356</v>
      </c>
      <c r="B226" t="s">
        <v>357</v>
      </c>
    </row>
    <row r="227" spans="1:2" x14ac:dyDescent="0.25">
      <c r="A227" t="s">
        <v>358</v>
      </c>
      <c r="B227" t="s">
        <v>359</v>
      </c>
    </row>
    <row r="228" spans="1:2" x14ac:dyDescent="0.25">
      <c r="A228" t="s">
        <v>360</v>
      </c>
      <c r="B228" t="s">
        <v>361</v>
      </c>
    </row>
    <row r="229" spans="1:2" x14ac:dyDescent="0.25">
      <c r="A229" t="s">
        <v>362</v>
      </c>
      <c r="B229" t="s">
        <v>363</v>
      </c>
    </row>
    <row r="230" spans="1:2" x14ac:dyDescent="0.25">
      <c r="A230" t="s">
        <v>364</v>
      </c>
      <c r="B230" t="s">
        <v>365</v>
      </c>
    </row>
    <row r="231" spans="1:2" x14ac:dyDescent="0.25">
      <c r="A231" t="s">
        <v>366</v>
      </c>
      <c r="B231" t="s">
        <v>367</v>
      </c>
    </row>
    <row r="232" spans="1:2" x14ac:dyDescent="0.25">
      <c r="A232" t="s">
        <v>368</v>
      </c>
      <c r="B232" t="s">
        <v>229</v>
      </c>
    </row>
    <row r="233" spans="1:2" x14ac:dyDescent="0.25">
      <c r="A233" t="s">
        <v>369</v>
      </c>
      <c r="B233" t="s">
        <v>229</v>
      </c>
    </row>
    <row r="234" spans="1:2" x14ac:dyDescent="0.25">
      <c r="A234" t="s">
        <v>370</v>
      </c>
      <c r="B234" t="s">
        <v>229</v>
      </c>
    </row>
    <row r="235" spans="1:2" x14ac:dyDescent="0.25">
      <c r="A235" t="s">
        <v>371</v>
      </c>
      <c r="B235" t="s">
        <v>229</v>
      </c>
    </row>
    <row r="236" spans="1:2" x14ac:dyDescent="0.25">
      <c r="A236" t="s">
        <v>372</v>
      </c>
      <c r="B236" t="s">
        <v>229</v>
      </c>
    </row>
    <row r="237" spans="1:2" x14ac:dyDescent="0.25">
      <c r="A237" t="s">
        <v>373</v>
      </c>
      <c r="B237" t="s">
        <v>53</v>
      </c>
    </row>
    <row r="238" spans="1:2" x14ac:dyDescent="0.25">
      <c r="A238" t="s">
        <v>374</v>
      </c>
      <c r="B238" t="s">
        <v>53</v>
      </c>
    </row>
    <row r="239" spans="1:2" x14ac:dyDescent="0.25">
      <c r="A239" t="s">
        <v>375</v>
      </c>
      <c r="B239" t="s">
        <v>56</v>
      </c>
    </row>
    <row r="240" spans="1:2" x14ac:dyDescent="0.25">
      <c r="A240" t="s">
        <v>376</v>
      </c>
      <c r="B240" t="s">
        <v>56</v>
      </c>
    </row>
    <row r="241" spans="1:2" x14ac:dyDescent="0.25">
      <c r="A241" t="s">
        <v>377</v>
      </c>
      <c r="B241" t="s">
        <v>56</v>
      </c>
    </row>
    <row r="242" spans="1:2" x14ac:dyDescent="0.25">
      <c r="A242" t="s">
        <v>378</v>
      </c>
      <c r="B242" t="s">
        <v>379</v>
      </c>
    </row>
    <row r="243" spans="1:2" x14ac:dyDescent="0.25">
      <c r="A243" t="s">
        <v>380</v>
      </c>
      <c r="B243" t="s">
        <v>238</v>
      </c>
    </row>
    <row r="244" spans="1:2" x14ac:dyDescent="0.25">
      <c r="A244" t="s">
        <v>381</v>
      </c>
      <c r="B244" t="s">
        <v>238</v>
      </c>
    </row>
    <row r="245" spans="1:2" x14ac:dyDescent="0.25">
      <c r="A245" t="s">
        <v>382</v>
      </c>
      <c r="B245" t="s">
        <v>59</v>
      </c>
    </row>
    <row r="246" spans="1:2" x14ac:dyDescent="0.25">
      <c r="A246" t="s">
        <v>383</v>
      </c>
      <c r="B246" t="s">
        <v>379</v>
      </c>
    </row>
    <row r="247" spans="1:2" x14ac:dyDescent="0.25">
      <c r="A247" t="s">
        <v>384</v>
      </c>
      <c r="B247" t="s">
        <v>64</v>
      </c>
    </row>
    <row r="248" spans="1:2" x14ac:dyDescent="0.25">
      <c r="A248" t="s">
        <v>385</v>
      </c>
      <c r="B248" t="s">
        <v>386</v>
      </c>
    </row>
    <row r="249" spans="1:2" x14ac:dyDescent="0.25">
      <c r="A249" t="s">
        <v>387</v>
      </c>
      <c r="B249" t="s">
        <v>68</v>
      </c>
    </row>
    <row r="250" spans="1:2" x14ac:dyDescent="0.25">
      <c r="A250" t="s">
        <v>388</v>
      </c>
      <c r="B250" t="s">
        <v>68</v>
      </c>
    </row>
    <row r="251" spans="1:2" x14ac:dyDescent="0.25">
      <c r="A251" t="s">
        <v>389</v>
      </c>
      <c r="B251" t="s">
        <v>70</v>
      </c>
    </row>
    <row r="252" spans="1:2" x14ac:dyDescent="0.25">
      <c r="A252" t="s">
        <v>390</v>
      </c>
      <c r="B252" t="s">
        <v>70</v>
      </c>
    </row>
    <row r="253" spans="1:2" x14ac:dyDescent="0.25">
      <c r="A253" t="s">
        <v>391</v>
      </c>
      <c r="B253" t="s">
        <v>392</v>
      </c>
    </row>
    <row r="254" spans="1:2" x14ac:dyDescent="0.25">
      <c r="A254" t="s">
        <v>393</v>
      </c>
      <c r="B254" t="s">
        <v>328</v>
      </c>
    </row>
    <row r="255" spans="1:2" x14ac:dyDescent="0.25">
      <c r="A255" t="s">
        <v>394</v>
      </c>
      <c r="B255" t="s">
        <v>395</v>
      </c>
    </row>
    <row r="256" spans="1:2" x14ac:dyDescent="0.25">
      <c r="A256" t="s">
        <v>396</v>
      </c>
      <c r="B256" t="s">
        <v>395</v>
      </c>
    </row>
    <row r="257" spans="1:2" x14ac:dyDescent="0.25">
      <c r="A257" t="s">
        <v>397</v>
      </c>
      <c r="B257" t="s">
        <v>395</v>
      </c>
    </row>
    <row r="258" spans="1:2" x14ac:dyDescent="0.25">
      <c r="A258" t="s">
        <v>398</v>
      </c>
      <c r="B258" t="s">
        <v>75</v>
      </c>
    </row>
    <row r="259" spans="1:2" x14ac:dyDescent="0.25">
      <c r="A259" t="s">
        <v>399</v>
      </c>
      <c r="B259" t="s">
        <v>82</v>
      </c>
    </row>
    <row r="260" spans="1:2" x14ac:dyDescent="0.25">
      <c r="A260" t="s">
        <v>400</v>
      </c>
      <c r="B260" t="s">
        <v>82</v>
      </c>
    </row>
    <row r="261" spans="1:2" x14ac:dyDescent="0.25">
      <c r="A261" t="s">
        <v>401</v>
      </c>
      <c r="B261" t="s">
        <v>402</v>
      </c>
    </row>
    <row r="262" spans="1:2" x14ac:dyDescent="0.25">
      <c r="A262" t="s">
        <v>403</v>
      </c>
      <c r="B262" t="s">
        <v>85</v>
      </c>
    </row>
    <row r="263" spans="1:2" x14ac:dyDescent="0.25">
      <c r="A263" t="s">
        <v>404</v>
      </c>
      <c r="B263" t="s">
        <v>85</v>
      </c>
    </row>
    <row r="264" spans="1:2" x14ac:dyDescent="0.25">
      <c r="A264" t="s">
        <v>405</v>
      </c>
      <c r="B264" t="s">
        <v>90</v>
      </c>
    </row>
    <row r="265" spans="1:2" x14ac:dyDescent="0.25">
      <c r="A265" t="s">
        <v>406</v>
      </c>
      <c r="B265" t="s">
        <v>220</v>
      </c>
    </row>
    <row r="266" spans="1:2" x14ac:dyDescent="0.25">
      <c r="A266" t="s">
        <v>407</v>
      </c>
      <c r="B266" t="s">
        <v>408</v>
      </c>
    </row>
    <row r="267" spans="1:2" x14ac:dyDescent="0.25">
      <c r="A267" t="s">
        <v>409</v>
      </c>
      <c r="B267" t="s">
        <v>220</v>
      </c>
    </row>
    <row r="268" spans="1:2" x14ac:dyDescent="0.25">
      <c r="A268" t="s">
        <v>410</v>
      </c>
      <c r="B268" t="s">
        <v>121</v>
      </c>
    </row>
    <row r="269" spans="1:2" x14ac:dyDescent="0.25">
      <c r="A269" t="s">
        <v>411</v>
      </c>
      <c r="B269" t="s">
        <v>107</v>
      </c>
    </row>
    <row r="270" spans="1:2" x14ac:dyDescent="0.25">
      <c r="A270" t="s">
        <v>412</v>
      </c>
      <c r="B270" t="s">
        <v>413</v>
      </c>
    </row>
    <row r="271" spans="1:2" x14ac:dyDescent="0.25">
      <c r="A271" t="s">
        <v>414</v>
      </c>
      <c r="B271" t="s">
        <v>107</v>
      </c>
    </row>
    <row r="272" spans="1:2" x14ac:dyDescent="0.25">
      <c r="A272" t="s">
        <v>415</v>
      </c>
      <c r="B272" t="s">
        <v>416</v>
      </c>
    </row>
    <row r="273" spans="1:2" x14ac:dyDescent="0.25">
      <c r="A273" t="s">
        <v>417</v>
      </c>
      <c r="B273" t="s">
        <v>113</v>
      </c>
    </row>
    <row r="274" spans="1:2" x14ac:dyDescent="0.25">
      <c r="A274" t="s">
        <v>418</v>
      </c>
      <c r="B274" t="s">
        <v>115</v>
      </c>
    </row>
    <row r="275" spans="1:2" x14ac:dyDescent="0.25">
      <c r="A275" t="s">
        <v>419</v>
      </c>
      <c r="B275" t="s">
        <v>123</v>
      </c>
    </row>
    <row r="276" spans="1:2" x14ac:dyDescent="0.25">
      <c r="A276" t="s">
        <v>420</v>
      </c>
      <c r="B276" t="s">
        <v>127</v>
      </c>
    </row>
    <row r="277" spans="1:2" x14ac:dyDescent="0.25">
      <c r="A277" t="s">
        <v>421</v>
      </c>
      <c r="B277" t="s">
        <v>127</v>
      </c>
    </row>
    <row r="278" spans="1:2" x14ac:dyDescent="0.25">
      <c r="A278" t="s">
        <v>422</v>
      </c>
      <c r="B278" t="s">
        <v>331</v>
      </c>
    </row>
    <row r="279" spans="1:2" x14ac:dyDescent="0.25">
      <c r="A279" t="s">
        <v>423</v>
      </c>
      <c r="B279" t="s">
        <v>331</v>
      </c>
    </row>
    <row r="280" spans="1:2" x14ac:dyDescent="0.25">
      <c r="A280" t="s">
        <v>424</v>
      </c>
      <c r="B280" t="s">
        <v>280</v>
      </c>
    </row>
    <row r="281" spans="1:2" x14ac:dyDescent="0.25">
      <c r="A281" t="s">
        <v>425</v>
      </c>
      <c r="B281" t="s">
        <v>133</v>
      </c>
    </row>
    <row r="282" spans="1:2" x14ac:dyDescent="0.25">
      <c r="A282" t="s">
        <v>426</v>
      </c>
      <c r="B282" t="s">
        <v>133</v>
      </c>
    </row>
    <row r="283" spans="1:2" x14ac:dyDescent="0.25">
      <c r="A283" t="s">
        <v>427</v>
      </c>
      <c r="B283" t="s">
        <v>137</v>
      </c>
    </row>
    <row r="284" spans="1:2" x14ac:dyDescent="0.25">
      <c r="A284" t="s">
        <v>428</v>
      </c>
      <c r="B284" t="s">
        <v>135</v>
      </c>
    </row>
    <row r="285" spans="1:2" x14ac:dyDescent="0.25">
      <c r="A285" t="s">
        <v>429</v>
      </c>
      <c r="B285" t="s">
        <v>135</v>
      </c>
    </row>
    <row r="286" spans="1:2" x14ac:dyDescent="0.25">
      <c r="A286" t="s">
        <v>430</v>
      </c>
      <c r="B286" t="s">
        <v>135</v>
      </c>
    </row>
    <row r="287" spans="1:2" x14ac:dyDescent="0.25">
      <c r="A287" t="s">
        <v>431</v>
      </c>
      <c r="B287" t="s">
        <v>135</v>
      </c>
    </row>
    <row r="288" spans="1:2" x14ac:dyDescent="0.25">
      <c r="A288" t="s">
        <v>432</v>
      </c>
      <c r="B288" t="s">
        <v>135</v>
      </c>
    </row>
    <row r="289" spans="1:2" x14ac:dyDescent="0.25">
      <c r="A289" t="s">
        <v>433</v>
      </c>
      <c r="B289" t="s">
        <v>141</v>
      </c>
    </row>
    <row r="290" spans="1:2" x14ac:dyDescent="0.25">
      <c r="A290" t="s">
        <v>434</v>
      </c>
      <c r="B290" t="s">
        <v>141</v>
      </c>
    </row>
    <row r="291" spans="1:2" x14ac:dyDescent="0.25">
      <c r="A291" t="s">
        <v>435</v>
      </c>
      <c r="B291" t="s">
        <v>141</v>
      </c>
    </row>
    <row r="292" spans="1:2" x14ac:dyDescent="0.25">
      <c r="A292" t="s">
        <v>436</v>
      </c>
      <c r="B292" t="s">
        <v>141</v>
      </c>
    </row>
    <row r="293" spans="1:2" x14ac:dyDescent="0.25">
      <c r="A293" t="s">
        <v>437</v>
      </c>
      <c r="B293" t="s">
        <v>153</v>
      </c>
    </row>
    <row r="294" spans="1:2" x14ac:dyDescent="0.25">
      <c r="A294" t="s">
        <v>438</v>
      </c>
      <c r="B294" t="s">
        <v>141</v>
      </c>
    </row>
    <row r="295" spans="1:2" x14ac:dyDescent="0.25">
      <c r="A295" t="s">
        <v>439</v>
      </c>
      <c r="B295" t="s">
        <v>141</v>
      </c>
    </row>
    <row r="296" spans="1:2" x14ac:dyDescent="0.25">
      <c r="A296" t="s">
        <v>440</v>
      </c>
      <c r="B296" t="s">
        <v>150</v>
      </c>
    </row>
    <row r="297" spans="1:2" x14ac:dyDescent="0.25">
      <c r="A297" t="s">
        <v>441</v>
      </c>
      <c r="B297" t="s">
        <v>153</v>
      </c>
    </row>
    <row r="298" spans="1:2" x14ac:dyDescent="0.25">
      <c r="A298" t="s">
        <v>442</v>
      </c>
      <c r="B298" t="s">
        <v>150</v>
      </c>
    </row>
    <row r="299" spans="1:2" x14ac:dyDescent="0.25">
      <c r="A299" t="s">
        <v>443</v>
      </c>
      <c r="B299" t="s">
        <v>150</v>
      </c>
    </row>
    <row r="300" spans="1:2" x14ac:dyDescent="0.25">
      <c r="A300" t="s">
        <v>444</v>
      </c>
      <c r="B300" t="s">
        <v>153</v>
      </c>
    </row>
    <row r="301" spans="1:2" x14ac:dyDescent="0.25">
      <c r="A301" t="s">
        <v>445</v>
      </c>
      <c r="B301" t="s">
        <v>153</v>
      </c>
    </row>
    <row r="302" spans="1:2" x14ac:dyDescent="0.25">
      <c r="A302" t="s">
        <v>446</v>
      </c>
      <c r="B302" t="s">
        <v>278</v>
      </c>
    </row>
    <row r="303" spans="1:2" x14ac:dyDescent="0.25">
      <c r="A303" t="s">
        <v>447</v>
      </c>
      <c r="B303" t="s">
        <v>153</v>
      </c>
    </row>
    <row r="304" spans="1:2" x14ac:dyDescent="0.25">
      <c r="A304" t="s">
        <v>448</v>
      </c>
      <c r="B304" t="s">
        <v>153</v>
      </c>
    </row>
    <row r="305" spans="1:2" x14ac:dyDescent="0.25">
      <c r="A305" t="s">
        <v>449</v>
      </c>
      <c r="B305" t="s">
        <v>153</v>
      </c>
    </row>
    <row r="306" spans="1:2" x14ac:dyDescent="0.25">
      <c r="A306" t="s">
        <v>450</v>
      </c>
      <c r="B306" t="s">
        <v>451</v>
      </c>
    </row>
    <row r="307" spans="1:2" x14ac:dyDescent="0.25">
      <c r="A307" t="s">
        <v>452</v>
      </c>
      <c r="B307" t="s">
        <v>453</v>
      </c>
    </row>
    <row r="308" spans="1:2" x14ac:dyDescent="0.25">
      <c r="A308" t="s">
        <v>454</v>
      </c>
      <c r="B308" t="s">
        <v>455</v>
      </c>
    </row>
    <row r="309" spans="1:2" x14ac:dyDescent="0.25">
      <c r="A309" t="s">
        <v>456</v>
      </c>
      <c r="B309" t="s">
        <v>457</v>
      </c>
    </row>
    <row r="310" spans="1:2" x14ac:dyDescent="0.25">
      <c r="A310" t="s">
        <v>458</v>
      </c>
      <c r="B310" t="s">
        <v>309</v>
      </c>
    </row>
    <row r="311" spans="1:2" x14ac:dyDescent="0.25">
      <c r="A311" t="s">
        <v>459</v>
      </c>
      <c r="B311" t="s">
        <v>460</v>
      </c>
    </row>
    <row r="312" spans="1:2" x14ac:dyDescent="0.25">
      <c r="A312" t="s">
        <v>461</v>
      </c>
      <c r="B312" t="s">
        <v>462</v>
      </c>
    </row>
    <row r="313" spans="1:2" x14ac:dyDescent="0.25">
      <c r="A313" t="s">
        <v>463</v>
      </c>
      <c r="B313" t="s">
        <v>464</v>
      </c>
    </row>
    <row r="314" spans="1:2" x14ac:dyDescent="0.25">
      <c r="A314" t="s">
        <v>465</v>
      </c>
      <c r="B314" t="s">
        <v>466</v>
      </c>
    </row>
    <row r="315" spans="1:2" x14ac:dyDescent="0.25">
      <c r="A315" t="s">
        <v>467</v>
      </c>
      <c r="B315" t="s">
        <v>468</v>
      </c>
    </row>
    <row r="316" spans="1:2" x14ac:dyDescent="0.25">
      <c r="A316" t="s">
        <v>469</v>
      </c>
      <c r="B316" t="s">
        <v>470</v>
      </c>
    </row>
    <row r="317" spans="1:2" x14ac:dyDescent="0.25">
      <c r="A317" t="s">
        <v>471</v>
      </c>
      <c r="B317" t="s">
        <v>472</v>
      </c>
    </row>
    <row r="318" spans="1:2" x14ac:dyDescent="0.25">
      <c r="A318" t="s">
        <v>473</v>
      </c>
      <c r="B318" t="s">
        <v>474</v>
      </c>
    </row>
    <row r="319" spans="1:2" x14ac:dyDescent="0.25">
      <c r="A319" t="s">
        <v>475</v>
      </c>
      <c r="B319" t="s">
        <v>474</v>
      </c>
    </row>
    <row r="320" spans="1:2" x14ac:dyDescent="0.25">
      <c r="A320" t="s">
        <v>476</v>
      </c>
      <c r="B320" t="s">
        <v>477</v>
      </c>
    </row>
    <row r="321" spans="1:2" x14ac:dyDescent="0.25">
      <c r="A321" t="s">
        <v>478</v>
      </c>
      <c r="B321" t="s">
        <v>479</v>
      </c>
    </row>
    <row r="322" spans="1:2" x14ac:dyDescent="0.25">
      <c r="A322" t="s">
        <v>480</v>
      </c>
      <c r="B322" t="s">
        <v>481</v>
      </c>
    </row>
    <row r="323" spans="1:2" x14ac:dyDescent="0.25">
      <c r="A323" t="s">
        <v>482</v>
      </c>
      <c r="B323" t="s">
        <v>173</v>
      </c>
    </row>
    <row r="324" spans="1:2" x14ac:dyDescent="0.25">
      <c r="A324" t="s">
        <v>483</v>
      </c>
      <c r="B324" t="s">
        <v>177</v>
      </c>
    </row>
    <row r="325" spans="1:2" x14ac:dyDescent="0.25">
      <c r="A325" t="s">
        <v>484</v>
      </c>
      <c r="B325" t="s">
        <v>177</v>
      </c>
    </row>
    <row r="326" spans="1:2" x14ac:dyDescent="0.25">
      <c r="A326" t="s">
        <v>485</v>
      </c>
      <c r="B326" t="s">
        <v>486</v>
      </c>
    </row>
    <row r="327" spans="1:2" x14ac:dyDescent="0.25">
      <c r="A327" t="s">
        <v>487</v>
      </c>
      <c r="B327" t="s">
        <v>177</v>
      </c>
    </row>
    <row r="328" spans="1:2" x14ac:dyDescent="0.25">
      <c r="A328" t="s">
        <v>488</v>
      </c>
      <c r="B328" t="s">
        <v>177</v>
      </c>
    </row>
    <row r="329" spans="1:2" x14ac:dyDescent="0.25">
      <c r="A329" t="s">
        <v>489</v>
      </c>
      <c r="B329" t="s">
        <v>177</v>
      </c>
    </row>
    <row r="330" spans="1:2" x14ac:dyDescent="0.25">
      <c r="A330" t="s">
        <v>490</v>
      </c>
      <c r="B330" t="s">
        <v>177</v>
      </c>
    </row>
    <row r="331" spans="1:2" x14ac:dyDescent="0.25">
      <c r="A331" t="s">
        <v>491</v>
      </c>
      <c r="B331" t="s">
        <v>492</v>
      </c>
    </row>
    <row r="332" spans="1:2" x14ac:dyDescent="0.25">
      <c r="A332" t="s">
        <v>493</v>
      </c>
      <c r="B332" t="s">
        <v>325</v>
      </c>
    </row>
    <row r="333" spans="1:2" x14ac:dyDescent="0.25">
      <c r="A333" t="s">
        <v>494</v>
      </c>
      <c r="B333" t="s">
        <v>150</v>
      </c>
    </row>
    <row r="334" spans="1:2" x14ac:dyDescent="0.25">
      <c r="A334" t="s">
        <v>495</v>
      </c>
      <c r="B334" t="s">
        <v>150</v>
      </c>
    </row>
    <row r="335" spans="1:2" x14ac:dyDescent="0.25">
      <c r="A335" t="s">
        <v>496</v>
      </c>
      <c r="B335" t="s">
        <v>150</v>
      </c>
    </row>
    <row r="336" spans="1:2" x14ac:dyDescent="0.25">
      <c r="A336" t="s">
        <v>497</v>
      </c>
      <c r="B336" t="s">
        <v>150</v>
      </c>
    </row>
    <row r="337" spans="1:2" x14ac:dyDescent="0.25">
      <c r="A337" t="s">
        <v>498</v>
      </c>
      <c r="B337" t="s">
        <v>70</v>
      </c>
    </row>
    <row r="338" spans="1:2" x14ac:dyDescent="0.25">
      <c r="A338" t="s">
        <v>499</v>
      </c>
      <c r="B338" t="s">
        <v>85</v>
      </c>
    </row>
    <row r="339" spans="1:2" x14ac:dyDescent="0.25">
      <c r="A339" t="s">
        <v>500</v>
      </c>
      <c r="B339" t="s">
        <v>88</v>
      </c>
    </row>
    <row r="340" spans="1:2" x14ac:dyDescent="0.25">
      <c r="A340" t="s">
        <v>501</v>
      </c>
      <c r="B340" t="s">
        <v>135</v>
      </c>
    </row>
    <row r="341" spans="1:2" x14ac:dyDescent="0.25">
      <c r="A341" t="s">
        <v>502</v>
      </c>
      <c r="B341" t="s">
        <v>135</v>
      </c>
    </row>
    <row r="342" spans="1:2" x14ac:dyDescent="0.25">
      <c r="A342" t="s">
        <v>503</v>
      </c>
      <c r="B342" t="s">
        <v>504</v>
      </c>
    </row>
    <row r="343" spans="1:2" x14ac:dyDescent="0.25">
      <c r="A343" t="s">
        <v>505</v>
      </c>
      <c r="B343" t="s">
        <v>506</v>
      </c>
    </row>
    <row r="344" spans="1:2" x14ac:dyDescent="0.25">
      <c r="A344" t="s">
        <v>507</v>
      </c>
      <c r="B344" t="s">
        <v>508</v>
      </c>
    </row>
    <row r="345" spans="1:2" x14ac:dyDescent="0.25">
      <c r="A345" t="s">
        <v>509</v>
      </c>
      <c r="B345" t="s">
        <v>510</v>
      </c>
    </row>
    <row r="346" spans="1:2" x14ac:dyDescent="0.25">
      <c r="A346" t="s">
        <v>511</v>
      </c>
      <c r="B346" t="s">
        <v>512</v>
      </c>
    </row>
    <row r="347" spans="1:2" x14ac:dyDescent="0.25">
      <c r="A347" t="s">
        <v>513</v>
      </c>
      <c r="B347" t="s">
        <v>514</v>
      </c>
    </row>
    <row r="348" spans="1:2" x14ac:dyDescent="0.25">
      <c r="A348" t="s">
        <v>515</v>
      </c>
      <c r="B348" t="s">
        <v>516</v>
      </c>
    </row>
    <row r="349" spans="1:2" x14ac:dyDescent="0.25">
      <c r="A349" t="s">
        <v>517</v>
      </c>
      <c r="B349" t="s">
        <v>518</v>
      </c>
    </row>
    <row r="350" spans="1:2" x14ac:dyDescent="0.25">
      <c r="A350" t="s">
        <v>519</v>
      </c>
      <c r="B350" t="s">
        <v>520</v>
      </c>
    </row>
    <row r="351" spans="1:2" x14ac:dyDescent="0.25">
      <c r="A351" t="s">
        <v>521</v>
      </c>
      <c r="B351" t="s">
        <v>522</v>
      </c>
    </row>
    <row r="352" spans="1:2" x14ac:dyDescent="0.25">
      <c r="A352" t="s">
        <v>523</v>
      </c>
      <c r="B352" t="s">
        <v>524</v>
      </c>
    </row>
    <row r="353" spans="1:2" x14ac:dyDescent="0.25">
      <c r="A353" t="s">
        <v>525</v>
      </c>
      <c r="B353" t="s">
        <v>526</v>
      </c>
    </row>
    <row r="354" spans="1:2" x14ac:dyDescent="0.25">
      <c r="A354" t="s">
        <v>527</v>
      </c>
      <c r="B354" t="s">
        <v>528</v>
      </c>
    </row>
    <row r="355" spans="1:2" x14ac:dyDescent="0.25">
      <c r="A355" t="s">
        <v>529</v>
      </c>
      <c r="B355" t="s">
        <v>530</v>
      </c>
    </row>
    <row r="356" spans="1:2" x14ac:dyDescent="0.25">
      <c r="A356" t="s">
        <v>531</v>
      </c>
      <c r="B356" t="s">
        <v>530</v>
      </c>
    </row>
    <row r="357" spans="1:2" x14ac:dyDescent="0.25">
      <c r="A357" t="s">
        <v>532</v>
      </c>
      <c r="B357" t="s">
        <v>49</v>
      </c>
    </row>
    <row r="358" spans="1:2" x14ac:dyDescent="0.25">
      <c r="A358" t="s">
        <v>533</v>
      </c>
      <c r="B358" t="s">
        <v>39</v>
      </c>
    </row>
    <row r="359" spans="1:2" x14ac:dyDescent="0.25">
      <c r="A359" t="s">
        <v>534</v>
      </c>
      <c r="B359" t="s">
        <v>42</v>
      </c>
    </row>
    <row r="360" spans="1:2" x14ac:dyDescent="0.25">
      <c r="A360" t="s">
        <v>535</v>
      </c>
      <c r="B360" t="s">
        <v>229</v>
      </c>
    </row>
    <row r="361" spans="1:2" x14ac:dyDescent="0.25">
      <c r="A361" t="s">
        <v>536</v>
      </c>
      <c r="B361" t="s">
        <v>53</v>
      </c>
    </row>
    <row r="362" spans="1:2" x14ac:dyDescent="0.25">
      <c r="A362" t="s">
        <v>537</v>
      </c>
      <c r="B362" t="s">
        <v>53</v>
      </c>
    </row>
    <row r="363" spans="1:2" x14ac:dyDescent="0.25">
      <c r="A363" t="s">
        <v>538</v>
      </c>
      <c r="B363" t="s">
        <v>51</v>
      </c>
    </row>
    <row r="364" spans="1:2" x14ac:dyDescent="0.25">
      <c r="A364" t="s">
        <v>539</v>
      </c>
      <c r="B364" t="s">
        <v>379</v>
      </c>
    </row>
    <row r="365" spans="1:2" x14ac:dyDescent="0.25">
      <c r="A365" t="s">
        <v>540</v>
      </c>
      <c r="B365" t="s">
        <v>386</v>
      </c>
    </row>
    <row r="366" spans="1:2" x14ac:dyDescent="0.25">
      <c r="A366" t="s">
        <v>541</v>
      </c>
      <c r="B366" t="s">
        <v>64</v>
      </c>
    </row>
    <row r="367" spans="1:2" x14ac:dyDescent="0.25">
      <c r="A367" t="s">
        <v>542</v>
      </c>
      <c r="B367" t="s">
        <v>64</v>
      </c>
    </row>
    <row r="368" spans="1:2" x14ac:dyDescent="0.25">
      <c r="A368" t="s">
        <v>543</v>
      </c>
      <c r="B368" t="s">
        <v>66</v>
      </c>
    </row>
    <row r="369" spans="1:2" x14ac:dyDescent="0.25">
      <c r="A369" t="s">
        <v>544</v>
      </c>
      <c r="B369" t="s">
        <v>545</v>
      </c>
    </row>
    <row r="370" spans="1:2" x14ac:dyDescent="0.25">
      <c r="A370" t="s">
        <v>546</v>
      </c>
      <c r="B370" t="s">
        <v>68</v>
      </c>
    </row>
    <row r="371" spans="1:2" x14ac:dyDescent="0.25">
      <c r="A371" t="s">
        <v>547</v>
      </c>
      <c r="B371" t="s">
        <v>70</v>
      </c>
    </row>
    <row r="372" spans="1:2" x14ac:dyDescent="0.25">
      <c r="A372" t="s">
        <v>548</v>
      </c>
      <c r="B372" t="s">
        <v>70</v>
      </c>
    </row>
    <row r="373" spans="1:2" x14ac:dyDescent="0.25">
      <c r="A373" t="s">
        <v>549</v>
      </c>
      <c r="B373" t="s">
        <v>70</v>
      </c>
    </row>
    <row r="374" spans="1:2" x14ac:dyDescent="0.25">
      <c r="A374" t="s">
        <v>550</v>
      </c>
      <c r="B374" t="s">
        <v>70</v>
      </c>
    </row>
    <row r="375" spans="1:2" x14ac:dyDescent="0.25">
      <c r="A375" t="s">
        <v>551</v>
      </c>
      <c r="B375" t="s">
        <v>328</v>
      </c>
    </row>
    <row r="376" spans="1:2" x14ac:dyDescent="0.25">
      <c r="A376" t="s">
        <v>552</v>
      </c>
      <c r="B376" t="s">
        <v>328</v>
      </c>
    </row>
    <row r="377" spans="1:2" x14ac:dyDescent="0.25">
      <c r="A377" t="s">
        <v>553</v>
      </c>
      <c r="B377" t="s">
        <v>395</v>
      </c>
    </row>
    <row r="378" spans="1:2" x14ac:dyDescent="0.25">
      <c r="A378" t="s">
        <v>554</v>
      </c>
      <c r="B378" t="s">
        <v>555</v>
      </c>
    </row>
    <row r="379" spans="1:2" x14ac:dyDescent="0.25">
      <c r="A379" t="s">
        <v>556</v>
      </c>
      <c r="B379" t="s">
        <v>557</v>
      </c>
    </row>
    <row r="380" spans="1:2" x14ac:dyDescent="0.25">
      <c r="A380" t="s">
        <v>558</v>
      </c>
      <c r="B380" t="s">
        <v>85</v>
      </c>
    </row>
    <row r="381" spans="1:2" x14ac:dyDescent="0.25">
      <c r="A381" t="s">
        <v>559</v>
      </c>
      <c r="B381" t="s">
        <v>82</v>
      </c>
    </row>
    <row r="382" spans="1:2" x14ac:dyDescent="0.25">
      <c r="A382" t="s">
        <v>560</v>
      </c>
      <c r="B382" t="s">
        <v>107</v>
      </c>
    </row>
    <row r="383" spans="1:2" x14ac:dyDescent="0.25">
      <c r="A383" t="s">
        <v>561</v>
      </c>
      <c r="B383" t="s">
        <v>562</v>
      </c>
    </row>
    <row r="384" spans="1:2" x14ac:dyDescent="0.25">
      <c r="A384" t="s">
        <v>563</v>
      </c>
      <c r="B384" t="s">
        <v>564</v>
      </c>
    </row>
    <row r="385" spans="1:2" x14ac:dyDescent="0.25">
      <c r="A385" t="s">
        <v>565</v>
      </c>
      <c r="B385" t="s">
        <v>109</v>
      </c>
    </row>
    <row r="386" spans="1:2" x14ac:dyDescent="0.25">
      <c r="A386" t="s">
        <v>566</v>
      </c>
      <c r="B386" t="s">
        <v>567</v>
      </c>
    </row>
    <row r="387" spans="1:2" x14ac:dyDescent="0.25">
      <c r="A387" t="s">
        <v>568</v>
      </c>
      <c r="B387" t="s">
        <v>569</v>
      </c>
    </row>
    <row r="388" spans="1:2" x14ac:dyDescent="0.25">
      <c r="A388" t="s">
        <v>570</v>
      </c>
      <c r="B388" t="s">
        <v>274</v>
      </c>
    </row>
    <row r="389" spans="1:2" x14ac:dyDescent="0.25">
      <c r="A389" t="s">
        <v>571</v>
      </c>
      <c r="B389" t="s">
        <v>125</v>
      </c>
    </row>
    <row r="390" spans="1:2" x14ac:dyDescent="0.25">
      <c r="A390" t="s">
        <v>572</v>
      </c>
      <c r="B390" t="s">
        <v>278</v>
      </c>
    </row>
    <row r="391" spans="1:2" x14ac:dyDescent="0.25">
      <c r="A391" t="s">
        <v>573</v>
      </c>
      <c r="B391" t="s">
        <v>131</v>
      </c>
    </row>
    <row r="392" spans="1:2" x14ac:dyDescent="0.25">
      <c r="A392" t="s">
        <v>574</v>
      </c>
      <c r="B392" t="s">
        <v>131</v>
      </c>
    </row>
    <row r="393" spans="1:2" x14ac:dyDescent="0.25">
      <c r="A393" t="s">
        <v>575</v>
      </c>
      <c r="B393" t="s">
        <v>280</v>
      </c>
    </row>
    <row r="394" spans="1:2" x14ac:dyDescent="0.25">
      <c r="A394" t="s">
        <v>576</v>
      </c>
      <c r="B394" t="s">
        <v>280</v>
      </c>
    </row>
    <row r="395" spans="1:2" x14ac:dyDescent="0.25">
      <c r="A395" t="s">
        <v>577</v>
      </c>
      <c r="B395" t="s">
        <v>133</v>
      </c>
    </row>
    <row r="396" spans="1:2" x14ac:dyDescent="0.25">
      <c r="A396" t="s">
        <v>578</v>
      </c>
      <c r="B396" t="s">
        <v>133</v>
      </c>
    </row>
    <row r="397" spans="1:2" x14ac:dyDescent="0.25">
      <c r="A397" t="s">
        <v>579</v>
      </c>
      <c r="B397" t="s">
        <v>133</v>
      </c>
    </row>
    <row r="398" spans="1:2" x14ac:dyDescent="0.25">
      <c r="A398" t="s">
        <v>580</v>
      </c>
      <c r="B398" t="s">
        <v>135</v>
      </c>
    </row>
    <row r="399" spans="1:2" x14ac:dyDescent="0.25">
      <c r="A399" t="s">
        <v>581</v>
      </c>
      <c r="B399" t="s">
        <v>137</v>
      </c>
    </row>
    <row r="400" spans="1:2" x14ac:dyDescent="0.25">
      <c r="A400" t="s">
        <v>582</v>
      </c>
      <c r="B400" t="s">
        <v>135</v>
      </c>
    </row>
    <row r="401" spans="1:2" x14ac:dyDescent="0.25">
      <c r="A401" t="s">
        <v>583</v>
      </c>
      <c r="B401" t="s">
        <v>137</v>
      </c>
    </row>
    <row r="402" spans="1:2" x14ac:dyDescent="0.25">
      <c r="A402" t="s">
        <v>584</v>
      </c>
      <c r="B402" t="s">
        <v>135</v>
      </c>
    </row>
    <row r="403" spans="1:2" x14ac:dyDescent="0.25">
      <c r="A403" t="s">
        <v>585</v>
      </c>
      <c r="B403" t="s">
        <v>135</v>
      </c>
    </row>
    <row r="404" spans="1:2" x14ac:dyDescent="0.25">
      <c r="A404" t="s">
        <v>586</v>
      </c>
      <c r="B404" t="s">
        <v>135</v>
      </c>
    </row>
    <row r="405" spans="1:2" x14ac:dyDescent="0.25">
      <c r="A405" t="s">
        <v>587</v>
      </c>
      <c r="B405" t="s">
        <v>141</v>
      </c>
    </row>
    <row r="406" spans="1:2" x14ac:dyDescent="0.25">
      <c r="A406" t="s">
        <v>588</v>
      </c>
      <c r="B406" t="s">
        <v>141</v>
      </c>
    </row>
    <row r="407" spans="1:2" x14ac:dyDescent="0.25">
      <c r="A407" t="s">
        <v>589</v>
      </c>
      <c r="B407" t="s">
        <v>141</v>
      </c>
    </row>
    <row r="408" spans="1:2" x14ac:dyDescent="0.25">
      <c r="A408" t="s">
        <v>590</v>
      </c>
      <c r="B408" t="s">
        <v>141</v>
      </c>
    </row>
    <row r="409" spans="1:2" x14ac:dyDescent="0.25">
      <c r="A409" t="s">
        <v>591</v>
      </c>
      <c r="B409" t="s">
        <v>141</v>
      </c>
    </row>
    <row r="410" spans="1:2" x14ac:dyDescent="0.25">
      <c r="A410" t="s">
        <v>592</v>
      </c>
      <c r="B410" t="s">
        <v>150</v>
      </c>
    </row>
    <row r="411" spans="1:2" x14ac:dyDescent="0.25">
      <c r="A411" t="s">
        <v>593</v>
      </c>
      <c r="B411" t="s">
        <v>153</v>
      </c>
    </row>
    <row r="412" spans="1:2" x14ac:dyDescent="0.25">
      <c r="A412" t="s">
        <v>594</v>
      </c>
      <c r="B412" t="s">
        <v>150</v>
      </c>
    </row>
    <row r="413" spans="1:2" x14ac:dyDescent="0.25">
      <c r="A413" t="s">
        <v>595</v>
      </c>
      <c r="B413" t="s">
        <v>150</v>
      </c>
    </row>
    <row r="414" spans="1:2" x14ac:dyDescent="0.25">
      <c r="A414" t="s">
        <v>596</v>
      </c>
      <c r="B414" t="s">
        <v>150</v>
      </c>
    </row>
    <row r="415" spans="1:2" x14ac:dyDescent="0.25">
      <c r="A415" t="s">
        <v>597</v>
      </c>
      <c r="B415" t="s">
        <v>150</v>
      </c>
    </row>
    <row r="416" spans="1:2" x14ac:dyDescent="0.25">
      <c r="A416" t="s">
        <v>598</v>
      </c>
      <c r="B416" t="s">
        <v>150</v>
      </c>
    </row>
    <row r="417" spans="1:2" x14ac:dyDescent="0.25">
      <c r="A417" t="s">
        <v>599</v>
      </c>
      <c r="B417" t="s">
        <v>150</v>
      </c>
    </row>
    <row r="418" spans="1:2" x14ac:dyDescent="0.25">
      <c r="A418" t="s">
        <v>600</v>
      </c>
      <c r="B418" t="s">
        <v>150</v>
      </c>
    </row>
    <row r="419" spans="1:2" x14ac:dyDescent="0.25">
      <c r="A419" t="s">
        <v>601</v>
      </c>
      <c r="B419" t="s">
        <v>150</v>
      </c>
    </row>
    <row r="420" spans="1:2" x14ac:dyDescent="0.25">
      <c r="A420" t="s">
        <v>602</v>
      </c>
      <c r="B420" t="s">
        <v>150</v>
      </c>
    </row>
    <row r="421" spans="1:2" x14ac:dyDescent="0.25">
      <c r="A421" t="s">
        <v>603</v>
      </c>
      <c r="B421" t="s">
        <v>150</v>
      </c>
    </row>
    <row r="422" spans="1:2" x14ac:dyDescent="0.25">
      <c r="A422" t="s">
        <v>604</v>
      </c>
      <c r="B422" t="s">
        <v>153</v>
      </c>
    </row>
    <row r="423" spans="1:2" x14ac:dyDescent="0.25">
      <c r="A423" t="s">
        <v>605</v>
      </c>
      <c r="B423" t="s">
        <v>606</v>
      </c>
    </row>
    <row r="424" spans="1:2" x14ac:dyDescent="0.25">
      <c r="A424" t="s">
        <v>607</v>
      </c>
      <c r="B424" t="s">
        <v>606</v>
      </c>
    </row>
    <row r="425" spans="1:2" x14ac:dyDescent="0.25">
      <c r="A425" t="s">
        <v>608</v>
      </c>
      <c r="B425" t="s">
        <v>609</v>
      </c>
    </row>
    <row r="426" spans="1:2" x14ac:dyDescent="0.25">
      <c r="A426" t="s">
        <v>610</v>
      </c>
      <c r="B426" t="s">
        <v>611</v>
      </c>
    </row>
    <row r="427" spans="1:2" x14ac:dyDescent="0.25">
      <c r="A427" t="s">
        <v>612</v>
      </c>
      <c r="B427" t="s">
        <v>613</v>
      </c>
    </row>
    <row r="428" spans="1:2" x14ac:dyDescent="0.25">
      <c r="A428" t="s">
        <v>614</v>
      </c>
      <c r="B428" t="s">
        <v>615</v>
      </c>
    </row>
    <row r="429" spans="1:2" x14ac:dyDescent="0.25">
      <c r="A429" t="s">
        <v>616</v>
      </c>
      <c r="B429" t="s">
        <v>617</v>
      </c>
    </row>
    <row r="430" spans="1:2" x14ac:dyDescent="0.25">
      <c r="A430" t="s">
        <v>618</v>
      </c>
      <c r="B430" t="s">
        <v>619</v>
      </c>
    </row>
    <row r="431" spans="1:2" x14ac:dyDescent="0.25">
      <c r="A431" t="s">
        <v>620</v>
      </c>
      <c r="B431" t="s">
        <v>621</v>
      </c>
    </row>
    <row r="432" spans="1:2" x14ac:dyDescent="0.25">
      <c r="A432" t="s">
        <v>622</v>
      </c>
      <c r="B432" t="s">
        <v>623</v>
      </c>
    </row>
    <row r="433" spans="1:2" x14ac:dyDescent="0.25">
      <c r="A433" t="s">
        <v>624</v>
      </c>
      <c r="B433" t="s">
        <v>625</v>
      </c>
    </row>
    <row r="434" spans="1:2" x14ac:dyDescent="0.25">
      <c r="A434" t="s">
        <v>626</v>
      </c>
      <c r="B434" t="s">
        <v>627</v>
      </c>
    </row>
    <row r="435" spans="1:2" x14ac:dyDescent="0.25">
      <c r="A435" t="s">
        <v>628</v>
      </c>
      <c r="B435" t="s">
        <v>177</v>
      </c>
    </row>
    <row r="436" spans="1:2" x14ac:dyDescent="0.25">
      <c r="A436" t="s">
        <v>629</v>
      </c>
      <c r="B436" t="s">
        <v>177</v>
      </c>
    </row>
    <row r="437" spans="1:2" x14ac:dyDescent="0.25">
      <c r="A437" t="s">
        <v>630</v>
      </c>
      <c r="B437" t="s">
        <v>631</v>
      </c>
    </row>
    <row r="438" spans="1:2" x14ac:dyDescent="0.25">
      <c r="A438" t="s">
        <v>632</v>
      </c>
      <c r="B438" t="s">
        <v>150</v>
      </c>
    </row>
    <row r="439" spans="1:2" x14ac:dyDescent="0.25">
      <c r="A439" t="s">
        <v>633</v>
      </c>
      <c r="B439" t="s">
        <v>150</v>
      </c>
    </row>
    <row r="440" spans="1:2" x14ac:dyDescent="0.25">
      <c r="A440" t="s">
        <v>634</v>
      </c>
      <c r="B440" t="s">
        <v>150</v>
      </c>
    </row>
    <row r="441" spans="1:2" x14ac:dyDescent="0.25">
      <c r="A441" t="s">
        <v>635</v>
      </c>
      <c r="B441" t="s">
        <v>133</v>
      </c>
    </row>
    <row r="442" spans="1:2" x14ac:dyDescent="0.25">
      <c r="A442" t="s">
        <v>636</v>
      </c>
      <c r="B442" t="s">
        <v>68</v>
      </c>
    </row>
    <row r="443" spans="1:2" x14ac:dyDescent="0.25">
      <c r="A443" t="s">
        <v>637</v>
      </c>
      <c r="B443" t="s">
        <v>68</v>
      </c>
    </row>
    <row r="444" spans="1:2" x14ac:dyDescent="0.25">
      <c r="A444" t="s">
        <v>638</v>
      </c>
      <c r="B444" t="s">
        <v>70</v>
      </c>
    </row>
    <row r="445" spans="1:2" x14ac:dyDescent="0.25">
      <c r="A445" t="s">
        <v>639</v>
      </c>
      <c r="B445" t="s">
        <v>133</v>
      </c>
    </row>
    <row r="446" spans="1:2" x14ac:dyDescent="0.25">
      <c r="A446" t="s">
        <v>640</v>
      </c>
      <c r="B446" t="s">
        <v>641</v>
      </c>
    </row>
    <row r="447" spans="1:2" x14ac:dyDescent="0.25">
      <c r="A447" t="s">
        <v>642</v>
      </c>
      <c r="B447" t="s">
        <v>643</v>
      </c>
    </row>
    <row r="448" spans="1:2" x14ac:dyDescent="0.25">
      <c r="A448" t="s">
        <v>644</v>
      </c>
      <c r="B448" t="s">
        <v>645</v>
      </c>
    </row>
    <row r="449" spans="1:2" x14ac:dyDescent="0.25">
      <c r="A449" t="s">
        <v>646</v>
      </c>
      <c r="B449" t="s">
        <v>647</v>
      </c>
    </row>
    <row r="450" spans="1:2" x14ac:dyDescent="0.25">
      <c r="A450" t="s">
        <v>648</v>
      </c>
      <c r="B450" t="s">
        <v>649</v>
      </c>
    </row>
    <row r="451" spans="1:2" x14ac:dyDescent="0.25">
      <c r="A451" t="s">
        <v>650</v>
      </c>
      <c r="B451" t="s">
        <v>651</v>
      </c>
    </row>
    <row r="452" spans="1:2" x14ac:dyDescent="0.25">
      <c r="A452" t="s">
        <v>652</v>
      </c>
      <c r="B452" t="s">
        <v>653</v>
      </c>
    </row>
    <row r="453" spans="1:2" x14ac:dyDescent="0.25">
      <c r="A453" t="s">
        <v>654</v>
      </c>
      <c r="B453" t="s">
        <v>205</v>
      </c>
    </row>
    <row r="454" spans="1:2" x14ac:dyDescent="0.25">
      <c r="A454" t="s">
        <v>655</v>
      </c>
      <c r="B454" t="s">
        <v>656</v>
      </c>
    </row>
    <row r="455" spans="1:2" x14ac:dyDescent="0.25">
      <c r="A455" t="s">
        <v>657</v>
      </c>
      <c r="B455" t="s">
        <v>658</v>
      </c>
    </row>
    <row r="456" spans="1:2" x14ac:dyDescent="0.25">
      <c r="A456" t="s">
        <v>659</v>
      </c>
      <c r="B456" t="s">
        <v>660</v>
      </c>
    </row>
    <row r="457" spans="1:2" x14ac:dyDescent="0.25">
      <c r="A457" t="s">
        <v>661</v>
      </c>
      <c r="B457" t="s">
        <v>662</v>
      </c>
    </row>
    <row r="458" spans="1:2" x14ac:dyDescent="0.25">
      <c r="A458" t="s">
        <v>663</v>
      </c>
      <c r="B458" t="s">
        <v>213</v>
      </c>
    </row>
    <row r="459" spans="1:2" x14ac:dyDescent="0.25">
      <c r="A459" t="s">
        <v>664</v>
      </c>
      <c r="B459" t="s">
        <v>665</v>
      </c>
    </row>
    <row r="460" spans="1:2" x14ac:dyDescent="0.25">
      <c r="A460" t="s">
        <v>666</v>
      </c>
      <c r="B460" t="s">
        <v>363</v>
      </c>
    </row>
    <row r="461" spans="1:2" x14ac:dyDescent="0.25">
      <c r="A461" t="s">
        <v>667</v>
      </c>
      <c r="B461" t="s">
        <v>42</v>
      </c>
    </row>
    <row r="462" spans="1:2" x14ac:dyDescent="0.25">
      <c r="A462" t="s">
        <v>668</v>
      </c>
      <c r="B462" t="s">
        <v>42</v>
      </c>
    </row>
    <row r="463" spans="1:2" x14ac:dyDescent="0.25">
      <c r="A463" t="s">
        <v>669</v>
      </c>
      <c r="B463" t="s">
        <v>365</v>
      </c>
    </row>
    <row r="464" spans="1:2" x14ac:dyDescent="0.25">
      <c r="A464" t="s">
        <v>670</v>
      </c>
      <c r="B464" t="s">
        <v>49</v>
      </c>
    </row>
    <row r="465" spans="1:2" x14ac:dyDescent="0.25">
      <c r="A465" t="s">
        <v>671</v>
      </c>
      <c r="B465" t="s">
        <v>227</v>
      </c>
    </row>
    <row r="466" spans="1:2" x14ac:dyDescent="0.25">
      <c r="A466" t="s">
        <v>672</v>
      </c>
      <c r="B466" t="s">
        <v>227</v>
      </c>
    </row>
    <row r="467" spans="1:2" x14ac:dyDescent="0.25">
      <c r="A467" t="s">
        <v>673</v>
      </c>
      <c r="B467" t="s">
        <v>229</v>
      </c>
    </row>
    <row r="468" spans="1:2" x14ac:dyDescent="0.25">
      <c r="A468" t="s">
        <v>674</v>
      </c>
      <c r="B468" t="s">
        <v>53</v>
      </c>
    </row>
    <row r="469" spans="1:2" x14ac:dyDescent="0.25">
      <c r="A469" t="s">
        <v>675</v>
      </c>
      <c r="B469" t="s">
        <v>53</v>
      </c>
    </row>
    <row r="470" spans="1:2" x14ac:dyDescent="0.25">
      <c r="A470" t="s">
        <v>676</v>
      </c>
      <c r="B470" t="s">
        <v>56</v>
      </c>
    </row>
    <row r="471" spans="1:2" x14ac:dyDescent="0.25">
      <c r="A471" t="s">
        <v>677</v>
      </c>
      <c r="B471" t="s">
        <v>51</v>
      </c>
    </row>
    <row r="472" spans="1:2" x14ac:dyDescent="0.25">
      <c r="A472" t="s">
        <v>678</v>
      </c>
      <c r="B472" t="s">
        <v>379</v>
      </c>
    </row>
    <row r="473" spans="1:2" x14ac:dyDescent="0.25">
      <c r="A473" t="s">
        <v>679</v>
      </c>
      <c r="B473" t="s">
        <v>379</v>
      </c>
    </row>
    <row r="474" spans="1:2" x14ac:dyDescent="0.25">
      <c r="A474" t="s">
        <v>680</v>
      </c>
      <c r="B474" t="s">
        <v>379</v>
      </c>
    </row>
    <row r="475" spans="1:2" x14ac:dyDescent="0.25">
      <c r="A475" t="s">
        <v>681</v>
      </c>
      <c r="B475" t="s">
        <v>64</v>
      </c>
    </row>
    <row r="476" spans="1:2" x14ac:dyDescent="0.25">
      <c r="A476" t="s">
        <v>682</v>
      </c>
      <c r="B476" t="s">
        <v>66</v>
      </c>
    </row>
    <row r="477" spans="1:2" x14ac:dyDescent="0.25">
      <c r="A477" t="s">
        <v>683</v>
      </c>
      <c r="B477" t="s">
        <v>66</v>
      </c>
    </row>
    <row r="478" spans="1:2" x14ac:dyDescent="0.25">
      <c r="A478" t="s">
        <v>684</v>
      </c>
      <c r="B478" t="s">
        <v>68</v>
      </c>
    </row>
    <row r="479" spans="1:2" x14ac:dyDescent="0.25">
      <c r="A479" t="s">
        <v>685</v>
      </c>
      <c r="B479" t="s">
        <v>70</v>
      </c>
    </row>
    <row r="480" spans="1:2" x14ac:dyDescent="0.25">
      <c r="A480" t="s">
        <v>686</v>
      </c>
      <c r="B480" t="s">
        <v>70</v>
      </c>
    </row>
    <row r="481" spans="1:2" x14ac:dyDescent="0.25">
      <c r="A481" t="s">
        <v>687</v>
      </c>
      <c r="B481" t="s">
        <v>70</v>
      </c>
    </row>
    <row r="482" spans="1:2" x14ac:dyDescent="0.25">
      <c r="A482" t="s">
        <v>688</v>
      </c>
      <c r="B482" t="s">
        <v>328</v>
      </c>
    </row>
    <row r="483" spans="1:2" x14ac:dyDescent="0.25">
      <c r="A483" t="s">
        <v>689</v>
      </c>
      <c r="B483" t="s">
        <v>328</v>
      </c>
    </row>
    <row r="484" spans="1:2" x14ac:dyDescent="0.25">
      <c r="A484" t="s">
        <v>690</v>
      </c>
      <c r="B484" t="s">
        <v>75</v>
      </c>
    </row>
    <row r="485" spans="1:2" x14ac:dyDescent="0.25">
      <c r="A485" t="s">
        <v>691</v>
      </c>
      <c r="B485" t="s">
        <v>79</v>
      </c>
    </row>
    <row r="486" spans="1:2" x14ac:dyDescent="0.25">
      <c r="A486" t="s">
        <v>692</v>
      </c>
      <c r="B486" t="s">
        <v>693</v>
      </c>
    </row>
    <row r="487" spans="1:2" x14ac:dyDescent="0.25">
      <c r="A487" t="s">
        <v>694</v>
      </c>
      <c r="B487" t="s">
        <v>695</v>
      </c>
    </row>
    <row r="488" spans="1:2" x14ac:dyDescent="0.25">
      <c r="A488" t="s">
        <v>696</v>
      </c>
      <c r="B488" t="s">
        <v>697</v>
      </c>
    </row>
    <row r="489" spans="1:2" x14ac:dyDescent="0.25">
      <c r="A489" t="s">
        <v>698</v>
      </c>
      <c r="B489" t="s">
        <v>85</v>
      </c>
    </row>
    <row r="490" spans="1:2" x14ac:dyDescent="0.25">
      <c r="A490" t="s">
        <v>699</v>
      </c>
      <c r="B490" t="s">
        <v>85</v>
      </c>
    </row>
    <row r="491" spans="1:2" x14ac:dyDescent="0.25">
      <c r="A491" t="s">
        <v>700</v>
      </c>
      <c r="B491" t="s">
        <v>220</v>
      </c>
    </row>
    <row r="492" spans="1:2" x14ac:dyDescent="0.25">
      <c r="A492" t="s">
        <v>701</v>
      </c>
      <c r="B492" t="s">
        <v>702</v>
      </c>
    </row>
    <row r="493" spans="1:2" x14ac:dyDescent="0.25">
      <c r="A493" t="s">
        <v>703</v>
      </c>
      <c r="B493" t="s">
        <v>258</v>
      </c>
    </row>
    <row r="494" spans="1:2" x14ac:dyDescent="0.25">
      <c r="A494" t="s">
        <v>704</v>
      </c>
      <c r="B494" t="s">
        <v>705</v>
      </c>
    </row>
    <row r="495" spans="1:2" x14ac:dyDescent="0.25">
      <c r="A495" t="s">
        <v>706</v>
      </c>
      <c r="B495" t="s">
        <v>107</v>
      </c>
    </row>
    <row r="496" spans="1:2" x14ac:dyDescent="0.25">
      <c r="A496" t="s">
        <v>707</v>
      </c>
      <c r="B496" t="s">
        <v>105</v>
      </c>
    </row>
    <row r="497" spans="1:2" x14ac:dyDescent="0.25">
      <c r="A497" t="s">
        <v>708</v>
      </c>
      <c r="B497" t="s">
        <v>107</v>
      </c>
    </row>
    <row r="498" spans="1:2" x14ac:dyDescent="0.25">
      <c r="A498" t="s">
        <v>709</v>
      </c>
      <c r="B498" t="s">
        <v>710</v>
      </c>
    </row>
    <row r="499" spans="1:2" x14ac:dyDescent="0.25">
      <c r="A499" t="s">
        <v>711</v>
      </c>
      <c r="B499" t="s">
        <v>274</v>
      </c>
    </row>
    <row r="500" spans="1:2" x14ac:dyDescent="0.25">
      <c r="A500" t="s">
        <v>712</v>
      </c>
      <c r="B500" t="s">
        <v>713</v>
      </c>
    </row>
    <row r="501" spans="1:2" x14ac:dyDescent="0.25">
      <c r="A501" t="s">
        <v>714</v>
      </c>
      <c r="B501" t="s">
        <v>280</v>
      </c>
    </row>
    <row r="502" spans="1:2" x14ac:dyDescent="0.25">
      <c r="A502" t="s">
        <v>715</v>
      </c>
      <c r="B502" t="s">
        <v>280</v>
      </c>
    </row>
    <row r="503" spans="1:2" x14ac:dyDescent="0.25">
      <c r="A503" t="s">
        <v>716</v>
      </c>
      <c r="B503" t="s">
        <v>133</v>
      </c>
    </row>
    <row r="504" spans="1:2" x14ac:dyDescent="0.25">
      <c r="A504" t="s">
        <v>717</v>
      </c>
      <c r="B504" t="s">
        <v>133</v>
      </c>
    </row>
    <row r="505" spans="1:2" x14ac:dyDescent="0.25">
      <c r="A505" t="s">
        <v>718</v>
      </c>
      <c r="B505" t="s">
        <v>133</v>
      </c>
    </row>
    <row r="506" spans="1:2" x14ac:dyDescent="0.25">
      <c r="A506" t="s">
        <v>719</v>
      </c>
      <c r="B506" t="s">
        <v>133</v>
      </c>
    </row>
    <row r="507" spans="1:2" x14ac:dyDescent="0.25">
      <c r="A507" t="s">
        <v>720</v>
      </c>
      <c r="B507" t="s">
        <v>137</v>
      </c>
    </row>
    <row r="508" spans="1:2" x14ac:dyDescent="0.25">
      <c r="A508" t="s">
        <v>721</v>
      </c>
      <c r="B508" t="s">
        <v>137</v>
      </c>
    </row>
    <row r="509" spans="1:2" x14ac:dyDescent="0.25">
      <c r="A509" t="s">
        <v>722</v>
      </c>
      <c r="B509" t="s">
        <v>135</v>
      </c>
    </row>
    <row r="510" spans="1:2" x14ac:dyDescent="0.25">
      <c r="A510" t="s">
        <v>723</v>
      </c>
      <c r="B510" t="s">
        <v>137</v>
      </c>
    </row>
    <row r="511" spans="1:2" x14ac:dyDescent="0.25">
      <c r="A511" t="s">
        <v>724</v>
      </c>
      <c r="B511" t="s">
        <v>135</v>
      </c>
    </row>
    <row r="512" spans="1:2" x14ac:dyDescent="0.25">
      <c r="A512" t="s">
        <v>725</v>
      </c>
      <c r="B512" t="s">
        <v>153</v>
      </c>
    </row>
    <row r="513" spans="1:2" x14ac:dyDescent="0.25">
      <c r="A513" t="s">
        <v>726</v>
      </c>
      <c r="B513" t="s">
        <v>141</v>
      </c>
    </row>
    <row r="514" spans="1:2" x14ac:dyDescent="0.25">
      <c r="A514" t="s">
        <v>727</v>
      </c>
      <c r="B514" t="s">
        <v>141</v>
      </c>
    </row>
    <row r="515" spans="1:2" x14ac:dyDescent="0.25">
      <c r="A515" t="s">
        <v>728</v>
      </c>
      <c r="B515" t="s">
        <v>141</v>
      </c>
    </row>
    <row r="516" spans="1:2" x14ac:dyDescent="0.25">
      <c r="A516" t="s">
        <v>729</v>
      </c>
      <c r="B516" t="s">
        <v>141</v>
      </c>
    </row>
    <row r="517" spans="1:2" x14ac:dyDescent="0.25">
      <c r="A517" t="s">
        <v>730</v>
      </c>
      <c r="B517" t="s">
        <v>141</v>
      </c>
    </row>
    <row r="518" spans="1:2" x14ac:dyDescent="0.25">
      <c r="A518" t="s">
        <v>731</v>
      </c>
      <c r="B518" t="s">
        <v>141</v>
      </c>
    </row>
    <row r="519" spans="1:2" x14ac:dyDescent="0.25">
      <c r="A519" t="s">
        <v>732</v>
      </c>
      <c r="B519" t="s">
        <v>141</v>
      </c>
    </row>
    <row r="520" spans="1:2" x14ac:dyDescent="0.25">
      <c r="A520" t="s">
        <v>733</v>
      </c>
      <c r="B520" t="s">
        <v>153</v>
      </c>
    </row>
    <row r="521" spans="1:2" x14ac:dyDescent="0.25">
      <c r="A521" t="s">
        <v>734</v>
      </c>
      <c r="B521" t="s">
        <v>141</v>
      </c>
    </row>
    <row r="522" spans="1:2" x14ac:dyDescent="0.25">
      <c r="A522" t="s">
        <v>735</v>
      </c>
      <c r="B522" t="s">
        <v>141</v>
      </c>
    </row>
    <row r="523" spans="1:2" x14ac:dyDescent="0.25">
      <c r="A523" t="s">
        <v>736</v>
      </c>
      <c r="B523" t="s">
        <v>150</v>
      </c>
    </row>
    <row r="524" spans="1:2" x14ac:dyDescent="0.25">
      <c r="A524" t="s">
        <v>737</v>
      </c>
      <c r="B524" t="s">
        <v>153</v>
      </c>
    </row>
    <row r="525" spans="1:2" x14ac:dyDescent="0.25">
      <c r="A525" t="s">
        <v>738</v>
      </c>
      <c r="B525" t="s">
        <v>150</v>
      </c>
    </row>
    <row r="526" spans="1:2" x14ac:dyDescent="0.25">
      <c r="A526" t="s">
        <v>739</v>
      </c>
      <c r="B526" t="s">
        <v>150</v>
      </c>
    </row>
    <row r="527" spans="1:2" x14ac:dyDescent="0.25">
      <c r="A527" t="s">
        <v>740</v>
      </c>
      <c r="B527" t="s">
        <v>150</v>
      </c>
    </row>
    <row r="528" spans="1:2" x14ac:dyDescent="0.25">
      <c r="A528" t="s">
        <v>741</v>
      </c>
      <c r="B528" t="s">
        <v>150</v>
      </c>
    </row>
    <row r="529" spans="1:2" x14ac:dyDescent="0.25">
      <c r="A529" t="s">
        <v>742</v>
      </c>
      <c r="B529" t="s">
        <v>150</v>
      </c>
    </row>
    <row r="530" spans="1:2" x14ac:dyDescent="0.25">
      <c r="A530" t="s">
        <v>743</v>
      </c>
      <c r="B530" t="s">
        <v>153</v>
      </c>
    </row>
    <row r="531" spans="1:2" x14ac:dyDescent="0.25">
      <c r="A531" t="s">
        <v>744</v>
      </c>
      <c r="B531" t="s">
        <v>745</v>
      </c>
    </row>
    <row r="532" spans="1:2" x14ac:dyDescent="0.25">
      <c r="A532" t="s">
        <v>746</v>
      </c>
      <c r="B532" t="s">
        <v>747</v>
      </c>
    </row>
    <row r="533" spans="1:2" x14ac:dyDescent="0.25">
      <c r="A533" t="s">
        <v>748</v>
      </c>
      <c r="B533" t="s">
        <v>749</v>
      </c>
    </row>
    <row r="534" spans="1:2" x14ac:dyDescent="0.25">
      <c r="A534" t="s">
        <v>750</v>
      </c>
      <c r="B534" t="s">
        <v>751</v>
      </c>
    </row>
    <row r="535" spans="1:2" x14ac:dyDescent="0.25">
      <c r="A535" t="s">
        <v>752</v>
      </c>
      <c r="B535" t="s">
        <v>753</v>
      </c>
    </row>
    <row r="536" spans="1:2" x14ac:dyDescent="0.25">
      <c r="A536" t="s">
        <v>754</v>
      </c>
      <c r="B536" t="s">
        <v>468</v>
      </c>
    </row>
    <row r="537" spans="1:2" x14ac:dyDescent="0.25">
      <c r="A537" t="s">
        <v>755</v>
      </c>
      <c r="B537" t="s">
        <v>756</v>
      </c>
    </row>
    <row r="538" spans="1:2" x14ac:dyDescent="0.25">
      <c r="A538" t="s">
        <v>757</v>
      </c>
      <c r="B538" t="s">
        <v>477</v>
      </c>
    </row>
    <row r="539" spans="1:2" x14ac:dyDescent="0.25">
      <c r="A539" t="s">
        <v>758</v>
      </c>
      <c r="B539" t="s">
        <v>175</v>
      </c>
    </row>
    <row r="540" spans="1:2" x14ac:dyDescent="0.25">
      <c r="A540" t="s">
        <v>759</v>
      </c>
      <c r="B540" t="s">
        <v>173</v>
      </c>
    </row>
    <row r="541" spans="1:2" x14ac:dyDescent="0.25">
      <c r="A541" t="s">
        <v>760</v>
      </c>
      <c r="B541" t="s">
        <v>173</v>
      </c>
    </row>
    <row r="542" spans="1:2" x14ac:dyDescent="0.25">
      <c r="A542" t="s">
        <v>761</v>
      </c>
      <c r="B542" t="s">
        <v>177</v>
      </c>
    </row>
    <row r="543" spans="1:2" x14ac:dyDescent="0.25">
      <c r="A543" t="s">
        <v>762</v>
      </c>
      <c r="B543" t="s">
        <v>177</v>
      </c>
    </row>
    <row r="544" spans="1:2" x14ac:dyDescent="0.25">
      <c r="A544" t="s">
        <v>763</v>
      </c>
      <c r="B544" t="s">
        <v>764</v>
      </c>
    </row>
    <row r="545" spans="1:2" x14ac:dyDescent="0.25">
      <c r="A545" t="s">
        <v>765</v>
      </c>
      <c r="B545" t="s">
        <v>177</v>
      </c>
    </row>
    <row r="546" spans="1:2" x14ac:dyDescent="0.25">
      <c r="A546" t="s">
        <v>766</v>
      </c>
      <c r="B546" t="s">
        <v>177</v>
      </c>
    </row>
    <row r="547" spans="1:2" x14ac:dyDescent="0.25">
      <c r="A547" t="s">
        <v>767</v>
      </c>
      <c r="B547" t="s">
        <v>177</v>
      </c>
    </row>
    <row r="548" spans="1:2" x14ac:dyDescent="0.25">
      <c r="A548" t="s">
        <v>768</v>
      </c>
      <c r="B548" t="s">
        <v>177</v>
      </c>
    </row>
    <row r="549" spans="1:2" x14ac:dyDescent="0.25">
      <c r="A549" t="s">
        <v>769</v>
      </c>
      <c r="B549" t="s">
        <v>177</v>
      </c>
    </row>
    <row r="550" spans="1:2" x14ac:dyDescent="0.25">
      <c r="A550" t="s">
        <v>770</v>
      </c>
      <c r="B550" t="s">
        <v>177</v>
      </c>
    </row>
    <row r="551" spans="1:2" x14ac:dyDescent="0.25">
      <c r="A551" t="s">
        <v>771</v>
      </c>
      <c r="B551" t="s">
        <v>772</v>
      </c>
    </row>
    <row r="552" spans="1:2" x14ac:dyDescent="0.25">
      <c r="A552" t="s">
        <v>773</v>
      </c>
      <c r="B552" t="s">
        <v>774</v>
      </c>
    </row>
    <row r="553" spans="1:2" x14ac:dyDescent="0.25">
      <c r="A553" t="s">
        <v>775</v>
      </c>
      <c r="B553" t="s">
        <v>150</v>
      </c>
    </row>
    <row r="554" spans="1:2" x14ac:dyDescent="0.25">
      <c r="A554" t="s">
        <v>776</v>
      </c>
      <c r="B554" t="s">
        <v>42</v>
      </c>
    </row>
    <row r="555" spans="1:2" x14ac:dyDescent="0.25">
      <c r="A555" t="s">
        <v>777</v>
      </c>
      <c r="B555" t="s">
        <v>75</v>
      </c>
    </row>
    <row r="556" spans="1:2" x14ac:dyDescent="0.25">
      <c r="A556" t="s">
        <v>778</v>
      </c>
      <c r="B556" t="s">
        <v>141</v>
      </c>
    </row>
    <row r="557" spans="1:2" x14ac:dyDescent="0.25">
      <c r="A557" t="s">
        <v>779</v>
      </c>
      <c r="B557" t="s">
        <v>141</v>
      </c>
    </row>
    <row r="558" spans="1:2" x14ac:dyDescent="0.25">
      <c r="A558" t="s">
        <v>780</v>
      </c>
      <c r="B558" t="s">
        <v>64</v>
      </c>
    </row>
    <row r="559" spans="1:2" x14ac:dyDescent="0.25">
      <c r="A559" t="s">
        <v>781</v>
      </c>
      <c r="B559" t="s">
        <v>135</v>
      </c>
    </row>
    <row r="560" spans="1:2" x14ac:dyDescent="0.25">
      <c r="A560" t="s">
        <v>782</v>
      </c>
      <c r="B560" t="s">
        <v>135</v>
      </c>
    </row>
    <row r="561" spans="1:2" x14ac:dyDescent="0.25">
      <c r="A561" t="s">
        <v>783</v>
      </c>
      <c r="B561" t="s">
        <v>133</v>
      </c>
    </row>
    <row r="562" spans="1:2" x14ac:dyDescent="0.25">
      <c r="A562" t="s">
        <v>784</v>
      </c>
      <c r="B562" t="s">
        <v>133</v>
      </c>
    </row>
    <row r="563" spans="1:2" x14ac:dyDescent="0.25">
      <c r="A563" t="s">
        <v>785</v>
      </c>
      <c r="B563" t="s">
        <v>786</v>
      </c>
    </row>
    <row r="564" spans="1:2" x14ac:dyDescent="0.25">
      <c r="A564" t="s">
        <v>787</v>
      </c>
      <c r="B564" t="s">
        <v>788</v>
      </c>
    </row>
    <row r="565" spans="1:2" x14ac:dyDescent="0.25">
      <c r="A565" t="s">
        <v>789</v>
      </c>
      <c r="B565" t="s">
        <v>790</v>
      </c>
    </row>
    <row r="566" spans="1:2" x14ac:dyDescent="0.25">
      <c r="A566" t="s">
        <v>791</v>
      </c>
      <c r="B566" t="s">
        <v>792</v>
      </c>
    </row>
    <row r="567" spans="1:2" x14ac:dyDescent="0.25">
      <c r="A567" t="s">
        <v>793</v>
      </c>
      <c r="B567" t="s">
        <v>794</v>
      </c>
    </row>
    <row r="568" spans="1:2" x14ac:dyDescent="0.25">
      <c r="A568" t="s">
        <v>795</v>
      </c>
      <c r="B568" t="s">
        <v>346</v>
      </c>
    </row>
    <row r="569" spans="1:2" x14ac:dyDescent="0.25">
      <c r="A569" t="s">
        <v>796</v>
      </c>
      <c r="B569" t="s">
        <v>797</v>
      </c>
    </row>
    <row r="570" spans="1:2" x14ac:dyDescent="0.25">
      <c r="A570" t="s">
        <v>798</v>
      </c>
      <c r="B570" t="s">
        <v>211</v>
      </c>
    </row>
    <row r="571" spans="1:2" x14ac:dyDescent="0.25">
      <c r="A571" t="s">
        <v>799</v>
      </c>
      <c r="B571" t="s">
        <v>29</v>
      </c>
    </row>
    <row r="572" spans="1:2" x14ac:dyDescent="0.25">
      <c r="A572" t="s">
        <v>800</v>
      </c>
      <c r="B572" t="s">
        <v>662</v>
      </c>
    </row>
    <row r="573" spans="1:2" x14ac:dyDescent="0.25">
      <c r="A573" t="s">
        <v>801</v>
      </c>
      <c r="B573" t="s">
        <v>802</v>
      </c>
    </row>
    <row r="574" spans="1:2" x14ac:dyDescent="0.25">
      <c r="A574" t="s">
        <v>803</v>
      </c>
      <c r="B574" t="s">
        <v>804</v>
      </c>
    </row>
    <row r="575" spans="1:2" x14ac:dyDescent="0.25">
      <c r="A575" t="s">
        <v>805</v>
      </c>
      <c r="B575" t="s">
        <v>806</v>
      </c>
    </row>
    <row r="576" spans="1:2" x14ac:dyDescent="0.25">
      <c r="A576" t="s">
        <v>807</v>
      </c>
      <c r="B576" t="s">
        <v>808</v>
      </c>
    </row>
    <row r="577" spans="1:2" x14ac:dyDescent="0.25">
      <c r="A577" t="s">
        <v>809</v>
      </c>
      <c r="B577" t="s">
        <v>361</v>
      </c>
    </row>
    <row r="578" spans="1:2" x14ac:dyDescent="0.25">
      <c r="A578" t="s">
        <v>810</v>
      </c>
      <c r="B578" t="s">
        <v>363</v>
      </c>
    </row>
    <row r="579" spans="1:2" x14ac:dyDescent="0.25">
      <c r="A579" t="s">
        <v>811</v>
      </c>
      <c r="B579" t="s">
        <v>42</v>
      </c>
    </row>
    <row r="580" spans="1:2" x14ac:dyDescent="0.25">
      <c r="A580" t="s">
        <v>812</v>
      </c>
      <c r="B580" t="s">
        <v>42</v>
      </c>
    </row>
    <row r="581" spans="1:2" x14ac:dyDescent="0.25">
      <c r="A581" t="s">
        <v>813</v>
      </c>
      <c r="B581" t="s">
        <v>814</v>
      </c>
    </row>
    <row r="582" spans="1:2" x14ac:dyDescent="0.25">
      <c r="A582" t="s">
        <v>815</v>
      </c>
      <c r="B582" t="s">
        <v>53</v>
      </c>
    </row>
    <row r="583" spans="1:2" x14ac:dyDescent="0.25">
      <c r="A583" t="s">
        <v>816</v>
      </c>
      <c r="B583" t="s">
        <v>56</v>
      </c>
    </row>
    <row r="584" spans="1:2" x14ac:dyDescent="0.25">
      <c r="A584" t="s">
        <v>817</v>
      </c>
      <c r="B584" t="s">
        <v>56</v>
      </c>
    </row>
    <row r="585" spans="1:2" x14ac:dyDescent="0.25">
      <c r="A585" t="s">
        <v>818</v>
      </c>
      <c r="B585" t="s">
        <v>39</v>
      </c>
    </row>
    <row r="586" spans="1:2" x14ac:dyDescent="0.25">
      <c r="A586" t="s">
        <v>819</v>
      </c>
      <c r="B586" t="s">
        <v>39</v>
      </c>
    </row>
    <row r="587" spans="1:2" x14ac:dyDescent="0.25">
      <c r="A587" t="s">
        <v>820</v>
      </c>
      <c r="B587" t="s">
        <v>59</v>
      </c>
    </row>
    <row r="588" spans="1:2" x14ac:dyDescent="0.25">
      <c r="A588" t="s">
        <v>821</v>
      </c>
      <c r="B588" t="s">
        <v>64</v>
      </c>
    </row>
    <row r="589" spans="1:2" x14ac:dyDescent="0.25">
      <c r="A589" t="s">
        <v>822</v>
      </c>
      <c r="B589" t="s">
        <v>66</v>
      </c>
    </row>
    <row r="590" spans="1:2" x14ac:dyDescent="0.25">
      <c r="A590" t="s">
        <v>823</v>
      </c>
      <c r="B590" t="s">
        <v>66</v>
      </c>
    </row>
    <row r="591" spans="1:2" x14ac:dyDescent="0.25">
      <c r="A591" t="s">
        <v>824</v>
      </c>
      <c r="B591" t="s">
        <v>825</v>
      </c>
    </row>
    <row r="592" spans="1:2" x14ac:dyDescent="0.25">
      <c r="A592" t="s">
        <v>826</v>
      </c>
      <c r="B592" t="s">
        <v>68</v>
      </c>
    </row>
    <row r="593" spans="1:2" x14ac:dyDescent="0.25">
      <c r="A593" t="s">
        <v>827</v>
      </c>
      <c r="B593" t="s">
        <v>70</v>
      </c>
    </row>
    <row r="594" spans="1:2" x14ac:dyDescent="0.25">
      <c r="A594" t="s">
        <v>828</v>
      </c>
      <c r="B594" t="s">
        <v>70</v>
      </c>
    </row>
    <row r="595" spans="1:2" x14ac:dyDescent="0.25">
      <c r="A595" t="s">
        <v>829</v>
      </c>
      <c r="B595" t="s">
        <v>830</v>
      </c>
    </row>
    <row r="596" spans="1:2" x14ac:dyDescent="0.25">
      <c r="A596" t="s">
        <v>831</v>
      </c>
      <c r="B596" t="s">
        <v>39</v>
      </c>
    </row>
    <row r="597" spans="1:2" x14ac:dyDescent="0.25">
      <c r="A597" t="s">
        <v>832</v>
      </c>
      <c r="B597" t="s">
        <v>328</v>
      </c>
    </row>
    <row r="598" spans="1:2" x14ac:dyDescent="0.25">
      <c r="A598" t="s">
        <v>833</v>
      </c>
      <c r="B598" t="s">
        <v>328</v>
      </c>
    </row>
    <row r="599" spans="1:2" x14ac:dyDescent="0.25">
      <c r="A599" t="s">
        <v>834</v>
      </c>
      <c r="B599" t="s">
        <v>395</v>
      </c>
    </row>
    <row r="600" spans="1:2" x14ac:dyDescent="0.25">
      <c r="A600" t="s">
        <v>835</v>
      </c>
      <c r="B600" t="s">
        <v>75</v>
      </c>
    </row>
    <row r="601" spans="1:2" x14ac:dyDescent="0.25">
      <c r="A601" t="s">
        <v>836</v>
      </c>
      <c r="B601" t="s">
        <v>75</v>
      </c>
    </row>
    <row r="602" spans="1:2" x14ac:dyDescent="0.25">
      <c r="A602" t="s">
        <v>837</v>
      </c>
      <c r="B602" t="s">
        <v>75</v>
      </c>
    </row>
    <row r="603" spans="1:2" x14ac:dyDescent="0.25">
      <c r="A603" t="s">
        <v>838</v>
      </c>
      <c r="B603" t="s">
        <v>79</v>
      </c>
    </row>
    <row r="604" spans="1:2" x14ac:dyDescent="0.25">
      <c r="A604" t="s">
        <v>839</v>
      </c>
      <c r="B604" t="s">
        <v>79</v>
      </c>
    </row>
    <row r="605" spans="1:2" x14ac:dyDescent="0.25">
      <c r="A605" t="s">
        <v>840</v>
      </c>
      <c r="B605" t="s">
        <v>79</v>
      </c>
    </row>
    <row r="606" spans="1:2" x14ac:dyDescent="0.25">
      <c r="A606" t="s">
        <v>841</v>
      </c>
      <c r="B606" t="s">
        <v>82</v>
      </c>
    </row>
    <row r="607" spans="1:2" x14ac:dyDescent="0.25">
      <c r="A607" t="s">
        <v>842</v>
      </c>
      <c r="B607" t="s">
        <v>85</v>
      </c>
    </row>
    <row r="608" spans="1:2" x14ac:dyDescent="0.25">
      <c r="A608" t="s">
        <v>843</v>
      </c>
      <c r="B608" t="s">
        <v>844</v>
      </c>
    </row>
    <row r="609" spans="1:2" x14ac:dyDescent="0.25">
      <c r="A609" t="s">
        <v>845</v>
      </c>
      <c r="B609" t="s">
        <v>846</v>
      </c>
    </row>
    <row r="610" spans="1:2" x14ac:dyDescent="0.25">
      <c r="A610" t="s">
        <v>847</v>
      </c>
      <c r="B610" t="s">
        <v>848</v>
      </c>
    </row>
    <row r="611" spans="1:2" x14ac:dyDescent="0.25">
      <c r="A611" t="s">
        <v>849</v>
      </c>
      <c r="B611" t="s">
        <v>220</v>
      </c>
    </row>
    <row r="612" spans="1:2" x14ac:dyDescent="0.25">
      <c r="A612" t="s">
        <v>850</v>
      </c>
      <c r="B612" t="s">
        <v>851</v>
      </c>
    </row>
    <row r="613" spans="1:2" x14ac:dyDescent="0.25">
      <c r="A613" t="s">
        <v>852</v>
      </c>
      <c r="B613" t="s">
        <v>101</v>
      </c>
    </row>
    <row r="614" spans="1:2" x14ac:dyDescent="0.25">
      <c r="A614" t="s">
        <v>853</v>
      </c>
      <c r="B614" t="s">
        <v>854</v>
      </c>
    </row>
    <row r="615" spans="1:2" x14ac:dyDescent="0.25">
      <c r="A615" t="s">
        <v>855</v>
      </c>
      <c r="B615" t="s">
        <v>107</v>
      </c>
    </row>
    <row r="616" spans="1:2" x14ac:dyDescent="0.25">
      <c r="A616" t="s">
        <v>856</v>
      </c>
      <c r="B616" t="s">
        <v>416</v>
      </c>
    </row>
    <row r="617" spans="1:2" x14ac:dyDescent="0.25">
      <c r="A617" t="s">
        <v>857</v>
      </c>
      <c r="B617" t="s">
        <v>858</v>
      </c>
    </row>
    <row r="618" spans="1:2" x14ac:dyDescent="0.25">
      <c r="A618" t="s">
        <v>859</v>
      </c>
      <c r="B618" t="s">
        <v>860</v>
      </c>
    </row>
    <row r="619" spans="1:2" x14ac:dyDescent="0.25">
      <c r="A619" t="s">
        <v>861</v>
      </c>
      <c r="B619" t="s">
        <v>274</v>
      </c>
    </row>
    <row r="620" spans="1:2" x14ac:dyDescent="0.25">
      <c r="A620" t="s">
        <v>862</v>
      </c>
      <c r="B620" t="s">
        <v>127</v>
      </c>
    </row>
    <row r="621" spans="1:2" x14ac:dyDescent="0.25">
      <c r="A621" t="s">
        <v>863</v>
      </c>
      <c r="B621" t="s">
        <v>129</v>
      </c>
    </row>
    <row r="622" spans="1:2" x14ac:dyDescent="0.25">
      <c r="A622" t="s">
        <v>864</v>
      </c>
      <c r="B622" t="s">
        <v>131</v>
      </c>
    </row>
    <row r="623" spans="1:2" x14ac:dyDescent="0.25">
      <c r="A623" t="s">
        <v>865</v>
      </c>
      <c r="B623" t="s">
        <v>133</v>
      </c>
    </row>
    <row r="624" spans="1:2" x14ac:dyDescent="0.25">
      <c r="A624" t="s">
        <v>866</v>
      </c>
      <c r="B624" t="s">
        <v>133</v>
      </c>
    </row>
    <row r="625" spans="1:2" x14ac:dyDescent="0.25">
      <c r="A625" t="s">
        <v>867</v>
      </c>
      <c r="B625" t="s">
        <v>135</v>
      </c>
    </row>
    <row r="626" spans="1:2" x14ac:dyDescent="0.25">
      <c r="A626" t="s">
        <v>868</v>
      </c>
      <c r="B626" t="s">
        <v>137</v>
      </c>
    </row>
    <row r="627" spans="1:2" x14ac:dyDescent="0.25">
      <c r="A627" t="s">
        <v>869</v>
      </c>
      <c r="B627" t="s">
        <v>135</v>
      </c>
    </row>
    <row r="628" spans="1:2" x14ac:dyDescent="0.25">
      <c r="A628" t="s">
        <v>870</v>
      </c>
      <c r="B628" t="s">
        <v>135</v>
      </c>
    </row>
    <row r="629" spans="1:2" x14ac:dyDescent="0.25">
      <c r="A629" t="s">
        <v>871</v>
      </c>
      <c r="B629" t="s">
        <v>135</v>
      </c>
    </row>
    <row r="630" spans="1:2" x14ac:dyDescent="0.25">
      <c r="A630" t="s">
        <v>872</v>
      </c>
      <c r="B630" t="s">
        <v>135</v>
      </c>
    </row>
    <row r="631" spans="1:2" x14ac:dyDescent="0.25">
      <c r="A631" t="s">
        <v>873</v>
      </c>
      <c r="B631" t="s">
        <v>141</v>
      </c>
    </row>
    <row r="632" spans="1:2" x14ac:dyDescent="0.25">
      <c r="A632" t="s">
        <v>874</v>
      </c>
      <c r="B632" t="s">
        <v>141</v>
      </c>
    </row>
    <row r="633" spans="1:2" x14ac:dyDescent="0.25">
      <c r="A633" t="s">
        <v>875</v>
      </c>
      <c r="B633" t="s">
        <v>141</v>
      </c>
    </row>
    <row r="634" spans="1:2" x14ac:dyDescent="0.25">
      <c r="A634" t="s">
        <v>876</v>
      </c>
      <c r="B634" t="s">
        <v>153</v>
      </c>
    </row>
    <row r="635" spans="1:2" x14ac:dyDescent="0.25">
      <c r="A635" t="s">
        <v>877</v>
      </c>
      <c r="B635" t="s">
        <v>141</v>
      </c>
    </row>
    <row r="636" spans="1:2" x14ac:dyDescent="0.25">
      <c r="A636" t="s">
        <v>878</v>
      </c>
      <c r="B636" t="s">
        <v>141</v>
      </c>
    </row>
    <row r="637" spans="1:2" x14ac:dyDescent="0.25">
      <c r="A637" t="s">
        <v>879</v>
      </c>
      <c r="B637" t="s">
        <v>153</v>
      </c>
    </row>
    <row r="638" spans="1:2" x14ac:dyDescent="0.25">
      <c r="A638" t="s">
        <v>880</v>
      </c>
      <c r="B638" t="s">
        <v>150</v>
      </c>
    </row>
    <row r="639" spans="1:2" x14ac:dyDescent="0.25">
      <c r="A639" t="s">
        <v>881</v>
      </c>
      <c r="B639" t="s">
        <v>150</v>
      </c>
    </row>
    <row r="640" spans="1:2" x14ac:dyDescent="0.25">
      <c r="A640" t="s">
        <v>882</v>
      </c>
      <c r="B640" t="s">
        <v>150</v>
      </c>
    </row>
    <row r="641" spans="1:2" x14ac:dyDescent="0.25">
      <c r="A641" t="s">
        <v>883</v>
      </c>
      <c r="B641" t="s">
        <v>153</v>
      </c>
    </row>
    <row r="642" spans="1:2" x14ac:dyDescent="0.25">
      <c r="A642" t="s">
        <v>884</v>
      </c>
      <c r="B642" t="s">
        <v>150</v>
      </c>
    </row>
    <row r="643" spans="1:2" x14ac:dyDescent="0.25">
      <c r="A643" t="s">
        <v>885</v>
      </c>
      <c r="B643" t="s">
        <v>150</v>
      </c>
    </row>
    <row r="644" spans="1:2" x14ac:dyDescent="0.25">
      <c r="A644" t="s">
        <v>886</v>
      </c>
      <c r="B644" t="s">
        <v>150</v>
      </c>
    </row>
    <row r="645" spans="1:2" x14ac:dyDescent="0.25">
      <c r="A645" t="s">
        <v>887</v>
      </c>
      <c r="B645" t="s">
        <v>150</v>
      </c>
    </row>
    <row r="646" spans="1:2" x14ac:dyDescent="0.25">
      <c r="A646" t="s">
        <v>888</v>
      </c>
      <c r="B646" t="s">
        <v>150</v>
      </c>
    </row>
    <row r="647" spans="1:2" x14ac:dyDescent="0.25">
      <c r="A647" t="s">
        <v>889</v>
      </c>
      <c r="B647" t="s">
        <v>150</v>
      </c>
    </row>
    <row r="648" spans="1:2" x14ac:dyDescent="0.25">
      <c r="A648" t="s">
        <v>890</v>
      </c>
      <c r="B648" t="s">
        <v>153</v>
      </c>
    </row>
    <row r="649" spans="1:2" x14ac:dyDescent="0.25">
      <c r="A649" t="s">
        <v>891</v>
      </c>
      <c r="B649" t="s">
        <v>150</v>
      </c>
    </row>
    <row r="650" spans="1:2" x14ac:dyDescent="0.25">
      <c r="A650" t="s">
        <v>892</v>
      </c>
      <c r="B650" t="s">
        <v>893</v>
      </c>
    </row>
    <row r="651" spans="1:2" x14ac:dyDescent="0.25">
      <c r="A651" t="s">
        <v>894</v>
      </c>
      <c r="B651" t="s">
        <v>893</v>
      </c>
    </row>
    <row r="652" spans="1:2" x14ac:dyDescent="0.25">
      <c r="A652" t="s">
        <v>895</v>
      </c>
      <c r="B652" t="s">
        <v>893</v>
      </c>
    </row>
    <row r="653" spans="1:2" x14ac:dyDescent="0.25">
      <c r="A653" t="s">
        <v>896</v>
      </c>
      <c r="B653" t="s">
        <v>153</v>
      </c>
    </row>
    <row r="654" spans="1:2" x14ac:dyDescent="0.25">
      <c r="A654" t="s">
        <v>897</v>
      </c>
      <c r="B654" t="s">
        <v>898</v>
      </c>
    </row>
    <row r="655" spans="1:2" x14ac:dyDescent="0.25">
      <c r="A655" t="s">
        <v>899</v>
      </c>
      <c r="B655" t="s">
        <v>153</v>
      </c>
    </row>
    <row r="656" spans="1:2" x14ac:dyDescent="0.25">
      <c r="A656" t="s">
        <v>900</v>
      </c>
      <c r="B656" t="s">
        <v>606</v>
      </c>
    </row>
    <row r="657" spans="1:2" x14ac:dyDescent="0.25">
      <c r="A657" t="s">
        <v>901</v>
      </c>
      <c r="B657" t="s">
        <v>606</v>
      </c>
    </row>
    <row r="658" spans="1:2" x14ac:dyDescent="0.25">
      <c r="A658" t="s">
        <v>902</v>
      </c>
      <c r="B658" t="s">
        <v>745</v>
      </c>
    </row>
    <row r="659" spans="1:2" x14ac:dyDescent="0.25">
      <c r="A659" t="s">
        <v>903</v>
      </c>
      <c r="B659" t="s">
        <v>904</v>
      </c>
    </row>
    <row r="660" spans="1:2" x14ac:dyDescent="0.25">
      <c r="A660" t="s">
        <v>905</v>
      </c>
      <c r="B660" t="s">
        <v>906</v>
      </c>
    </row>
    <row r="661" spans="1:2" x14ac:dyDescent="0.25">
      <c r="A661" t="s">
        <v>907</v>
      </c>
      <c r="B661" t="s">
        <v>908</v>
      </c>
    </row>
    <row r="662" spans="1:2" x14ac:dyDescent="0.25">
      <c r="A662" t="s">
        <v>909</v>
      </c>
      <c r="B662" t="s">
        <v>468</v>
      </c>
    </row>
    <row r="663" spans="1:2" x14ac:dyDescent="0.25">
      <c r="A663" t="s">
        <v>910</v>
      </c>
      <c r="B663" t="s">
        <v>911</v>
      </c>
    </row>
    <row r="664" spans="1:2" x14ac:dyDescent="0.25">
      <c r="A664" t="s">
        <v>912</v>
      </c>
      <c r="B664" t="s">
        <v>913</v>
      </c>
    </row>
    <row r="665" spans="1:2" x14ac:dyDescent="0.25">
      <c r="A665" t="s">
        <v>914</v>
      </c>
      <c r="B665" t="s">
        <v>615</v>
      </c>
    </row>
    <row r="666" spans="1:2" x14ac:dyDescent="0.25">
      <c r="A666" t="s">
        <v>915</v>
      </c>
      <c r="B666" t="s">
        <v>916</v>
      </c>
    </row>
    <row r="667" spans="1:2" x14ac:dyDescent="0.25">
      <c r="A667" t="s">
        <v>917</v>
      </c>
      <c r="B667" t="s">
        <v>173</v>
      </c>
    </row>
    <row r="668" spans="1:2" x14ac:dyDescent="0.25">
      <c r="A668" t="s">
        <v>918</v>
      </c>
      <c r="B668" t="s">
        <v>173</v>
      </c>
    </row>
    <row r="669" spans="1:2" x14ac:dyDescent="0.25">
      <c r="A669" t="s">
        <v>919</v>
      </c>
      <c r="B669" t="s">
        <v>919</v>
      </c>
    </row>
    <row r="670" spans="1:2" x14ac:dyDescent="0.25">
      <c r="A670" t="s">
        <v>920</v>
      </c>
      <c r="B670" t="s">
        <v>177</v>
      </c>
    </row>
    <row r="671" spans="1:2" x14ac:dyDescent="0.25">
      <c r="A671" t="s">
        <v>921</v>
      </c>
      <c r="B671" t="s">
        <v>177</v>
      </c>
    </row>
    <row r="672" spans="1:2" x14ac:dyDescent="0.25">
      <c r="A672" t="s">
        <v>922</v>
      </c>
      <c r="B672" t="s">
        <v>150</v>
      </c>
    </row>
    <row r="673" spans="1:2" x14ac:dyDescent="0.25">
      <c r="A673" t="s">
        <v>923</v>
      </c>
      <c r="B673" t="s">
        <v>141</v>
      </c>
    </row>
    <row r="674" spans="1:2" x14ac:dyDescent="0.25">
      <c r="A674" t="s">
        <v>924</v>
      </c>
      <c r="B674" t="s">
        <v>141</v>
      </c>
    </row>
    <row r="675" spans="1:2" x14ac:dyDescent="0.25">
      <c r="A675" t="s">
        <v>925</v>
      </c>
      <c r="B675" t="s">
        <v>141</v>
      </c>
    </row>
    <row r="676" spans="1:2" x14ac:dyDescent="0.25">
      <c r="A676" t="s">
        <v>926</v>
      </c>
      <c r="B676" t="s">
        <v>64</v>
      </c>
    </row>
    <row r="677" spans="1:2" x14ac:dyDescent="0.25">
      <c r="A677" t="s">
        <v>927</v>
      </c>
      <c r="B677" t="s">
        <v>64</v>
      </c>
    </row>
    <row r="678" spans="1:2" x14ac:dyDescent="0.25">
      <c r="A678" t="s">
        <v>928</v>
      </c>
      <c r="B678" t="s">
        <v>70</v>
      </c>
    </row>
    <row r="679" spans="1:2" x14ac:dyDescent="0.25">
      <c r="A679" t="s">
        <v>929</v>
      </c>
      <c r="B679" t="s">
        <v>133</v>
      </c>
    </row>
    <row r="680" spans="1:2" x14ac:dyDescent="0.25">
      <c r="A680" t="s">
        <v>930</v>
      </c>
      <c r="B680" t="s">
        <v>931</v>
      </c>
    </row>
    <row r="681" spans="1:2" x14ac:dyDescent="0.25">
      <c r="A681" t="s">
        <v>932</v>
      </c>
      <c r="B681" t="s">
        <v>933</v>
      </c>
    </row>
    <row r="682" spans="1:2" x14ac:dyDescent="0.25">
      <c r="A682" t="s">
        <v>934</v>
      </c>
      <c r="B682" t="s">
        <v>935</v>
      </c>
    </row>
    <row r="683" spans="1:2" x14ac:dyDescent="0.25">
      <c r="A683" t="s">
        <v>936</v>
      </c>
      <c r="B683" t="s">
        <v>937</v>
      </c>
    </row>
    <row r="684" spans="1:2" x14ac:dyDescent="0.25">
      <c r="A684" t="s">
        <v>938</v>
      </c>
      <c r="B684" t="s">
        <v>939</v>
      </c>
    </row>
    <row r="685" spans="1:2" x14ac:dyDescent="0.25">
      <c r="A685" t="s">
        <v>940</v>
      </c>
      <c r="B685" t="s">
        <v>941</v>
      </c>
    </row>
    <row r="686" spans="1:2" x14ac:dyDescent="0.25">
      <c r="A686" t="s">
        <v>942</v>
      </c>
      <c r="B686" t="s">
        <v>943</v>
      </c>
    </row>
    <row r="687" spans="1:2" x14ac:dyDescent="0.25">
      <c r="A687" t="s">
        <v>944</v>
      </c>
      <c r="B687" t="s">
        <v>656</v>
      </c>
    </row>
    <row r="688" spans="1:2" x14ac:dyDescent="0.25">
      <c r="A688" t="s">
        <v>945</v>
      </c>
      <c r="B688" t="s">
        <v>205</v>
      </c>
    </row>
    <row r="689" spans="1:2" x14ac:dyDescent="0.25">
      <c r="A689" t="s">
        <v>946</v>
      </c>
      <c r="B689" t="s">
        <v>348</v>
      </c>
    </row>
    <row r="690" spans="1:2" x14ac:dyDescent="0.25">
      <c r="A690" t="s">
        <v>947</v>
      </c>
      <c r="B690" t="s">
        <v>948</v>
      </c>
    </row>
    <row r="691" spans="1:2" x14ac:dyDescent="0.25">
      <c r="A691" t="s">
        <v>949</v>
      </c>
      <c r="B691" t="s">
        <v>950</v>
      </c>
    </row>
    <row r="692" spans="1:2" x14ac:dyDescent="0.25">
      <c r="A692" t="s">
        <v>951</v>
      </c>
      <c r="B692" t="s">
        <v>952</v>
      </c>
    </row>
    <row r="693" spans="1:2" x14ac:dyDescent="0.25">
      <c r="A693" t="s">
        <v>953</v>
      </c>
      <c r="B693" t="s">
        <v>29</v>
      </c>
    </row>
    <row r="694" spans="1:2" x14ac:dyDescent="0.25">
      <c r="A694" t="s">
        <v>954</v>
      </c>
      <c r="B694" t="s">
        <v>33</v>
      </c>
    </row>
    <row r="695" spans="1:2" x14ac:dyDescent="0.25">
      <c r="A695" t="s">
        <v>955</v>
      </c>
      <c r="B695" t="s">
        <v>39</v>
      </c>
    </row>
    <row r="696" spans="1:2" x14ac:dyDescent="0.25">
      <c r="A696" t="s">
        <v>956</v>
      </c>
      <c r="B696" t="s">
        <v>49</v>
      </c>
    </row>
    <row r="697" spans="1:2" x14ac:dyDescent="0.25">
      <c r="A697" t="s">
        <v>957</v>
      </c>
      <c r="B697" t="s">
        <v>46</v>
      </c>
    </row>
    <row r="698" spans="1:2" x14ac:dyDescent="0.25">
      <c r="A698" t="s">
        <v>958</v>
      </c>
      <c r="B698" t="s">
        <v>46</v>
      </c>
    </row>
    <row r="699" spans="1:2" x14ac:dyDescent="0.25">
      <c r="A699" t="s">
        <v>959</v>
      </c>
      <c r="B699" t="s">
        <v>46</v>
      </c>
    </row>
    <row r="700" spans="1:2" x14ac:dyDescent="0.25">
      <c r="A700" t="s">
        <v>960</v>
      </c>
      <c r="B700" t="s">
        <v>961</v>
      </c>
    </row>
    <row r="701" spans="1:2" x14ac:dyDescent="0.25">
      <c r="A701" t="s">
        <v>962</v>
      </c>
      <c r="B701" t="s">
        <v>227</v>
      </c>
    </row>
    <row r="702" spans="1:2" x14ac:dyDescent="0.25">
      <c r="A702" t="s">
        <v>963</v>
      </c>
      <c r="B702" t="s">
        <v>229</v>
      </c>
    </row>
    <row r="703" spans="1:2" x14ac:dyDescent="0.25">
      <c r="A703" t="s">
        <v>964</v>
      </c>
      <c r="B703" t="s">
        <v>51</v>
      </c>
    </row>
    <row r="704" spans="1:2" x14ac:dyDescent="0.25">
      <c r="A704" t="s">
        <v>965</v>
      </c>
      <c r="B704" t="s">
        <v>56</v>
      </c>
    </row>
    <row r="705" spans="1:2" x14ac:dyDescent="0.25">
      <c r="A705" t="s">
        <v>966</v>
      </c>
      <c r="B705" t="s">
        <v>56</v>
      </c>
    </row>
    <row r="706" spans="1:2" x14ac:dyDescent="0.25">
      <c r="A706" t="s">
        <v>967</v>
      </c>
      <c r="B706" t="s">
        <v>56</v>
      </c>
    </row>
    <row r="707" spans="1:2" x14ac:dyDescent="0.25">
      <c r="A707" t="s">
        <v>968</v>
      </c>
      <c r="B707" t="s">
        <v>59</v>
      </c>
    </row>
    <row r="708" spans="1:2" x14ac:dyDescent="0.25">
      <c r="A708" t="s">
        <v>969</v>
      </c>
      <c r="B708" t="s">
        <v>59</v>
      </c>
    </row>
    <row r="709" spans="1:2" x14ac:dyDescent="0.25">
      <c r="A709" t="s">
        <v>970</v>
      </c>
      <c r="B709" t="s">
        <v>59</v>
      </c>
    </row>
    <row r="710" spans="1:2" x14ac:dyDescent="0.25">
      <c r="A710" t="s">
        <v>971</v>
      </c>
      <c r="B710" t="s">
        <v>379</v>
      </c>
    </row>
    <row r="711" spans="1:2" x14ac:dyDescent="0.25">
      <c r="A711" t="s">
        <v>972</v>
      </c>
      <c r="B711" t="s">
        <v>64</v>
      </c>
    </row>
    <row r="712" spans="1:2" x14ac:dyDescent="0.25">
      <c r="A712" t="s">
        <v>973</v>
      </c>
      <c r="B712" t="s">
        <v>64</v>
      </c>
    </row>
    <row r="713" spans="1:2" x14ac:dyDescent="0.25">
      <c r="A713" t="s">
        <v>974</v>
      </c>
      <c r="B713" t="s">
        <v>975</v>
      </c>
    </row>
    <row r="714" spans="1:2" x14ac:dyDescent="0.25">
      <c r="A714" t="s">
        <v>976</v>
      </c>
      <c r="B714" t="s">
        <v>977</v>
      </c>
    </row>
    <row r="715" spans="1:2" x14ac:dyDescent="0.25">
      <c r="A715" t="s">
        <v>978</v>
      </c>
      <c r="B715" t="s">
        <v>64</v>
      </c>
    </row>
    <row r="716" spans="1:2" x14ac:dyDescent="0.25">
      <c r="A716" t="s">
        <v>979</v>
      </c>
      <c r="B716" t="s">
        <v>64</v>
      </c>
    </row>
    <row r="717" spans="1:2" x14ac:dyDescent="0.25">
      <c r="A717" t="s">
        <v>980</v>
      </c>
      <c r="B717" t="s">
        <v>68</v>
      </c>
    </row>
    <row r="718" spans="1:2" x14ac:dyDescent="0.25">
      <c r="A718" t="s">
        <v>981</v>
      </c>
      <c r="B718" t="s">
        <v>982</v>
      </c>
    </row>
    <row r="719" spans="1:2" x14ac:dyDescent="0.25">
      <c r="A719" t="s">
        <v>983</v>
      </c>
      <c r="B719" t="s">
        <v>328</v>
      </c>
    </row>
    <row r="720" spans="1:2" x14ac:dyDescent="0.25">
      <c r="A720" t="s">
        <v>984</v>
      </c>
      <c r="B720" t="s">
        <v>328</v>
      </c>
    </row>
    <row r="721" spans="1:2" x14ac:dyDescent="0.25">
      <c r="A721" t="s">
        <v>985</v>
      </c>
      <c r="B721" t="s">
        <v>395</v>
      </c>
    </row>
    <row r="722" spans="1:2" x14ac:dyDescent="0.25">
      <c r="A722" t="s">
        <v>986</v>
      </c>
      <c r="B722" t="s">
        <v>79</v>
      </c>
    </row>
    <row r="723" spans="1:2" x14ac:dyDescent="0.25">
      <c r="A723" t="s">
        <v>987</v>
      </c>
      <c r="B723" t="s">
        <v>82</v>
      </c>
    </row>
    <row r="724" spans="1:2" x14ac:dyDescent="0.25">
      <c r="A724" t="s">
        <v>988</v>
      </c>
      <c r="B724" t="s">
        <v>989</v>
      </c>
    </row>
    <row r="725" spans="1:2" x14ac:dyDescent="0.25">
      <c r="A725" t="s">
        <v>990</v>
      </c>
      <c r="B725" t="s">
        <v>90</v>
      </c>
    </row>
    <row r="726" spans="1:2" x14ac:dyDescent="0.25">
      <c r="A726" t="s">
        <v>991</v>
      </c>
      <c r="B726" t="s">
        <v>90</v>
      </c>
    </row>
    <row r="727" spans="1:2" x14ac:dyDescent="0.25">
      <c r="A727" t="s">
        <v>992</v>
      </c>
      <c r="B727" t="s">
        <v>90</v>
      </c>
    </row>
    <row r="728" spans="1:2" x14ac:dyDescent="0.25">
      <c r="A728" t="s">
        <v>993</v>
      </c>
      <c r="B728" t="s">
        <v>107</v>
      </c>
    </row>
    <row r="729" spans="1:2" x14ac:dyDescent="0.25">
      <c r="A729" t="s">
        <v>994</v>
      </c>
      <c r="B729" t="s">
        <v>107</v>
      </c>
    </row>
    <row r="730" spans="1:2" x14ac:dyDescent="0.25">
      <c r="A730" t="s">
        <v>995</v>
      </c>
      <c r="B730" t="s">
        <v>107</v>
      </c>
    </row>
    <row r="731" spans="1:2" x14ac:dyDescent="0.25">
      <c r="A731" t="s">
        <v>996</v>
      </c>
      <c r="B731" t="s">
        <v>111</v>
      </c>
    </row>
    <row r="732" spans="1:2" x14ac:dyDescent="0.25">
      <c r="A732" t="s">
        <v>997</v>
      </c>
      <c r="B732" t="s">
        <v>710</v>
      </c>
    </row>
    <row r="733" spans="1:2" x14ac:dyDescent="0.25">
      <c r="A733" t="s">
        <v>998</v>
      </c>
      <c r="B733" t="s">
        <v>270</v>
      </c>
    </row>
    <row r="734" spans="1:2" x14ac:dyDescent="0.25">
      <c r="A734" t="s">
        <v>999</v>
      </c>
      <c r="B734" t="s">
        <v>117</v>
      </c>
    </row>
    <row r="735" spans="1:2" x14ac:dyDescent="0.25">
      <c r="A735" t="s">
        <v>1000</v>
      </c>
      <c r="B735" t="s">
        <v>274</v>
      </c>
    </row>
    <row r="736" spans="1:2" x14ac:dyDescent="0.25">
      <c r="A736" t="s">
        <v>1001</v>
      </c>
      <c r="B736" t="s">
        <v>127</v>
      </c>
    </row>
    <row r="737" spans="1:2" x14ac:dyDescent="0.25">
      <c r="A737" t="s">
        <v>1002</v>
      </c>
      <c r="B737" t="s">
        <v>1003</v>
      </c>
    </row>
    <row r="738" spans="1:2" x14ac:dyDescent="0.25">
      <c r="A738" t="s">
        <v>1004</v>
      </c>
      <c r="B738" t="s">
        <v>280</v>
      </c>
    </row>
    <row r="739" spans="1:2" x14ac:dyDescent="0.25">
      <c r="A739" t="s">
        <v>1005</v>
      </c>
      <c r="B739" t="s">
        <v>133</v>
      </c>
    </row>
    <row r="740" spans="1:2" x14ac:dyDescent="0.25">
      <c r="A740" t="s">
        <v>1006</v>
      </c>
      <c r="B740" t="s">
        <v>133</v>
      </c>
    </row>
    <row r="741" spans="1:2" x14ac:dyDescent="0.25">
      <c r="A741" t="s">
        <v>1007</v>
      </c>
      <c r="B741" t="s">
        <v>59</v>
      </c>
    </row>
    <row r="742" spans="1:2" x14ac:dyDescent="0.25">
      <c r="A742" t="s">
        <v>1008</v>
      </c>
      <c r="B742" t="s">
        <v>135</v>
      </c>
    </row>
    <row r="743" spans="1:2" x14ac:dyDescent="0.25">
      <c r="A743" t="s">
        <v>1009</v>
      </c>
      <c r="B743" t="s">
        <v>135</v>
      </c>
    </row>
    <row r="744" spans="1:2" x14ac:dyDescent="0.25">
      <c r="A744" t="s">
        <v>1010</v>
      </c>
      <c r="B744" t="s">
        <v>135</v>
      </c>
    </row>
    <row r="745" spans="1:2" x14ac:dyDescent="0.25">
      <c r="A745" t="s">
        <v>1011</v>
      </c>
      <c r="B745" t="s">
        <v>135</v>
      </c>
    </row>
    <row r="746" spans="1:2" x14ac:dyDescent="0.25">
      <c r="A746" t="s">
        <v>1012</v>
      </c>
      <c r="B746" t="s">
        <v>141</v>
      </c>
    </row>
    <row r="747" spans="1:2" x14ac:dyDescent="0.25">
      <c r="A747" t="s">
        <v>1013</v>
      </c>
      <c r="B747" t="s">
        <v>141</v>
      </c>
    </row>
    <row r="748" spans="1:2" x14ac:dyDescent="0.25">
      <c r="A748" t="s">
        <v>1014</v>
      </c>
      <c r="B748" t="s">
        <v>141</v>
      </c>
    </row>
    <row r="749" spans="1:2" x14ac:dyDescent="0.25">
      <c r="A749" t="s">
        <v>1015</v>
      </c>
      <c r="B749" t="s">
        <v>153</v>
      </c>
    </row>
    <row r="750" spans="1:2" x14ac:dyDescent="0.25">
      <c r="A750" t="s">
        <v>1016</v>
      </c>
      <c r="B750" t="s">
        <v>141</v>
      </c>
    </row>
    <row r="751" spans="1:2" x14ac:dyDescent="0.25">
      <c r="A751" t="s">
        <v>1017</v>
      </c>
      <c r="B751" t="s">
        <v>141</v>
      </c>
    </row>
    <row r="752" spans="1:2" x14ac:dyDescent="0.25">
      <c r="A752" t="s">
        <v>1018</v>
      </c>
      <c r="B752" t="s">
        <v>141</v>
      </c>
    </row>
    <row r="753" spans="1:2" x14ac:dyDescent="0.25">
      <c r="A753" t="s">
        <v>1019</v>
      </c>
      <c r="B753" t="s">
        <v>141</v>
      </c>
    </row>
    <row r="754" spans="1:2" x14ac:dyDescent="0.25">
      <c r="A754" t="s">
        <v>1020</v>
      </c>
      <c r="B754" t="s">
        <v>141</v>
      </c>
    </row>
    <row r="755" spans="1:2" x14ac:dyDescent="0.25">
      <c r="A755" t="s">
        <v>1021</v>
      </c>
      <c r="B755" t="s">
        <v>150</v>
      </c>
    </row>
    <row r="756" spans="1:2" x14ac:dyDescent="0.25">
      <c r="A756" t="s">
        <v>1022</v>
      </c>
      <c r="B756" t="s">
        <v>150</v>
      </c>
    </row>
    <row r="757" spans="1:2" x14ac:dyDescent="0.25">
      <c r="A757" t="s">
        <v>1023</v>
      </c>
      <c r="B757" t="s">
        <v>150</v>
      </c>
    </row>
    <row r="758" spans="1:2" x14ac:dyDescent="0.25">
      <c r="A758" t="s">
        <v>1024</v>
      </c>
      <c r="B758" t="s">
        <v>150</v>
      </c>
    </row>
    <row r="759" spans="1:2" x14ac:dyDescent="0.25">
      <c r="A759" t="s">
        <v>1025</v>
      </c>
      <c r="B759" t="s">
        <v>153</v>
      </c>
    </row>
    <row r="760" spans="1:2" x14ac:dyDescent="0.25">
      <c r="A760" t="s">
        <v>1026</v>
      </c>
      <c r="B760" t="s">
        <v>150</v>
      </c>
    </row>
    <row r="761" spans="1:2" x14ac:dyDescent="0.25">
      <c r="A761" t="s">
        <v>1027</v>
      </c>
      <c r="B761" t="s">
        <v>150</v>
      </c>
    </row>
    <row r="762" spans="1:2" x14ac:dyDescent="0.25">
      <c r="A762" t="s">
        <v>1028</v>
      </c>
      <c r="B762" t="s">
        <v>150</v>
      </c>
    </row>
    <row r="763" spans="1:2" x14ac:dyDescent="0.25">
      <c r="A763" t="s">
        <v>1029</v>
      </c>
      <c r="B763" t="s">
        <v>150</v>
      </c>
    </row>
    <row r="764" spans="1:2" x14ac:dyDescent="0.25">
      <c r="A764" t="s">
        <v>1030</v>
      </c>
      <c r="B764" t="s">
        <v>153</v>
      </c>
    </row>
    <row r="765" spans="1:2" x14ac:dyDescent="0.25">
      <c r="A765" t="s">
        <v>1031</v>
      </c>
      <c r="B765" t="s">
        <v>153</v>
      </c>
    </row>
    <row r="766" spans="1:2" x14ac:dyDescent="0.25">
      <c r="A766" t="s">
        <v>1032</v>
      </c>
      <c r="B766" t="s">
        <v>153</v>
      </c>
    </row>
    <row r="767" spans="1:2" x14ac:dyDescent="0.25">
      <c r="A767" t="s">
        <v>1033</v>
      </c>
      <c r="B767" t="s">
        <v>153</v>
      </c>
    </row>
    <row r="768" spans="1:2" x14ac:dyDescent="0.25">
      <c r="A768" t="s">
        <v>1034</v>
      </c>
      <c r="B768" t="s">
        <v>153</v>
      </c>
    </row>
    <row r="769" spans="1:2" x14ac:dyDescent="0.25">
      <c r="A769" t="s">
        <v>1035</v>
      </c>
      <c r="B769" t="s">
        <v>153</v>
      </c>
    </row>
    <row r="770" spans="1:2" x14ac:dyDescent="0.25">
      <c r="A770" t="s">
        <v>1036</v>
      </c>
      <c r="B770" t="s">
        <v>153</v>
      </c>
    </row>
    <row r="771" spans="1:2" x14ac:dyDescent="0.25">
      <c r="A771" t="s">
        <v>1037</v>
      </c>
      <c r="B771" t="s">
        <v>606</v>
      </c>
    </row>
    <row r="772" spans="1:2" x14ac:dyDescent="0.25">
      <c r="A772" t="s">
        <v>1038</v>
      </c>
      <c r="B772" t="s">
        <v>1039</v>
      </c>
    </row>
    <row r="773" spans="1:2" x14ac:dyDescent="0.25">
      <c r="A773" t="s">
        <v>1040</v>
      </c>
      <c r="B773" t="s">
        <v>1041</v>
      </c>
    </row>
    <row r="774" spans="1:2" x14ac:dyDescent="0.25">
      <c r="A774" t="s">
        <v>1042</v>
      </c>
      <c r="B774" t="s">
        <v>1043</v>
      </c>
    </row>
    <row r="775" spans="1:2" x14ac:dyDescent="0.25">
      <c r="A775" t="s">
        <v>1044</v>
      </c>
      <c r="B775" t="s">
        <v>1045</v>
      </c>
    </row>
    <row r="776" spans="1:2" x14ac:dyDescent="0.25">
      <c r="A776" t="s">
        <v>1046</v>
      </c>
      <c r="B776" t="s">
        <v>1047</v>
      </c>
    </row>
    <row r="777" spans="1:2" x14ac:dyDescent="0.25">
      <c r="A777" t="s">
        <v>1048</v>
      </c>
      <c r="B777" t="s">
        <v>1049</v>
      </c>
    </row>
    <row r="778" spans="1:2" x14ac:dyDescent="0.25">
      <c r="A778" t="s">
        <v>1050</v>
      </c>
      <c r="B778" t="s">
        <v>481</v>
      </c>
    </row>
    <row r="779" spans="1:2" x14ac:dyDescent="0.25">
      <c r="A779" t="s">
        <v>1051</v>
      </c>
      <c r="B779" t="s">
        <v>173</v>
      </c>
    </row>
    <row r="780" spans="1:2" x14ac:dyDescent="0.25">
      <c r="A780" t="s">
        <v>1052</v>
      </c>
      <c r="B780" t="s">
        <v>1053</v>
      </c>
    </row>
    <row r="781" spans="1:2" x14ac:dyDescent="0.25">
      <c r="A781" t="s">
        <v>1054</v>
      </c>
      <c r="B781" t="s">
        <v>177</v>
      </c>
    </row>
    <row r="782" spans="1:2" x14ac:dyDescent="0.25">
      <c r="A782" t="s">
        <v>1055</v>
      </c>
      <c r="B782" t="s">
        <v>177</v>
      </c>
    </row>
    <row r="783" spans="1:2" x14ac:dyDescent="0.25">
      <c r="A783" t="s">
        <v>1056</v>
      </c>
      <c r="B783" t="s">
        <v>325</v>
      </c>
    </row>
    <row r="784" spans="1:2" x14ac:dyDescent="0.25">
      <c r="A784" t="s">
        <v>1057</v>
      </c>
      <c r="B784" t="s">
        <v>1058</v>
      </c>
    </row>
    <row r="785" spans="1:2" x14ac:dyDescent="0.25">
      <c r="A785" t="s">
        <v>1059</v>
      </c>
      <c r="B785" t="s">
        <v>1060</v>
      </c>
    </row>
    <row r="786" spans="1:2" x14ac:dyDescent="0.25">
      <c r="A786" t="s">
        <v>1061</v>
      </c>
      <c r="B786" t="s">
        <v>1062</v>
      </c>
    </row>
    <row r="787" spans="1:2" x14ac:dyDescent="0.25">
      <c r="A787" t="s">
        <v>1063</v>
      </c>
      <c r="B787" t="s">
        <v>59</v>
      </c>
    </row>
    <row r="788" spans="1:2" x14ac:dyDescent="0.25">
      <c r="A788" t="s">
        <v>1064</v>
      </c>
      <c r="B788" t="s">
        <v>150</v>
      </c>
    </row>
    <row r="789" spans="1:2" x14ac:dyDescent="0.25">
      <c r="A789" t="s">
        <v>1065</v>
      </c>
      <c r="B789" t="s">
        <v>75</v>
      </c>
    </row>
    <row r="790" spans="1:2" x14ac:dyDescent="0.25">
      <c r="A790" t="s">
        <v>1066</v>
      </c>
      <c r="B790" t="s">
        <v>79</v>
      </c>
    </row>
    <row r="791" spans="1:2" x14ac:dyDescent="0.25">
      <c r="A791" t="s">
        <v>1067</v>
      </c>
      <c r="B791" t="s">
        <v>127</v>
      </c>
    </row>
    <row r="792" spans="1:2" x14ac:dyDescent="0.25">
      <c r="A792" t="s">
        <v>1068</v>
      </c>
      <c r="B792" t="s">
        <v>141</v>
      </c>
    </row>
    <row r="793" spans="1:2" x14ac:dyDescent="0.25">
      <c r="A793" t="s">
        <v>1069</v>
      </c>
      <c r="B793" t="s">
        <v>141</v>
      </c>
    </row>
    <row r="794" spans="1:2" x14ac:dyDescent="0.25">
      <c r="A794" t="s">
        <v>1070</v>
      </c>
      <c r="B794" t="s">
        <v>141</v>
      </c>
    </row>
    <row r="795" spans="1:2" x14ac:dyDescent="0.25">
      <c r="A795" t="s">
        <v>1071</v>
      </c>
      <c r="B795" t="s">
        <v>141</v>
      </c>
    </row>
    <row r="796" spans="1:2" x14ac:dyDescent="0.25">
      <c r="A796" t="s">
        <v>1072</v>
      </c>
      <c r="B796" t="s">
        <v>66</v>
      </c>
    </row>
    <row r="797" spans="1:2" x14ac:dyDescent="0.25">
      <c r="A797" t="s">
        <v>1073</v>
      </c>
      <c r="B797" t="s">
        <v>328</v>
      </c>
    </row>
    <row r="798" spans="1:2" x14ac:dyDescent="0.25">
      <c r="A798" t="s">
        <v>1074</v>
      </c>
      <c r="B798" t="s">
        <v>1075</v>
      </c>
    </row>
    <row r="799" spans="1:2" x14ac:dyDescent="0.25">
      <c r="A799" t="s">
        <v>1076</v>
      </c>
      <c r="B799" t="s">
        <v>1077</v>
      </c>
    </row>
    <row r="800" spans="1:2" x14ac:dyDescent="0.25">
      <c r="A800" t="s">
        <v>1078</v>
      </c>
      <c r="B800" t="s">
        <v>1079</v>
      </c>
    </row>
    <row r="801" spans="1:2" x14ac:dyDescent="0.25">
      <c r="A801" t="s">
        <v>1080</v>
      </c>
      <c r="B801" t="s">
        <v>1081</v>
      </c>
    </row>
    <row r="802" spans="1:2" x14ac:dyDescent="0.25">
      <c r="A802" t="s">
        <v>1082</v>
      </c>
      <c r="B802" t="s">
        <v>1083</v>
      </c>
    </row>
    <row r="803" spans="1:2" x14ac:dyDescent="0.25">
      <c r="A803" t="s">
        <v>1084</v>
      </c>
      <c r="B803" t="s">
        <v>1085</v>
      </c>
    </row>
    <row r="804" spans="1:2" x14ac:dyDescent="0.25">
      <c r="A804" t="s">
        <v>1086</v>
      </c>
      <c r="B804" t="s">
        <v>348</v>
      </c>
    </row>
    <row r="805" spans="1:2" x14ac:dyDescent="0.25">
      <c r="A805" t="s">
        <v>1087</v>
      </c>
      <c r="B805" t="s">
        <v>348</v>
      </c>
    </row>
    <row r="806" spans="1:2" x14ac:dyDescent="0.25">
      <c r="A806" t="s">
        <v>1088</v>
      </c>
      <c r="B806" t="s">
        <v>1089</v>
      </c>
    </row>
    <row r="807" spans="1:2" x14ac:dyDescent="0.25">
      <c r="A807" t="s">
        <v>1090</v>
      </c>
      <c r="B807" t="s">
        <v>1091</v>
      </c>
    </row>
    <row r="808" spans="1:2" x14ac:dyDescent="0.25">
      <c r="A808" t="s">
        <v>1092</v>
      </c>
      <c r="B808" t="s">
        <v>1093</v>
      </c>
    </row>
    <row r="809" spans="1:2" x14ac:dyDescent="0.25">
      <c r="A809" t="s">
        <v>1094</v>
      </c>
      <c r="B809" t="s">
        <v>1095</v>
      </c>
    </row>
    <row r="810" spans="1:2" x14ac:dyDescent="0.25">
      <c r="A810" t="s">
        <v>1096</v>
      </c>
      <c r="B810" t="s">
        <v>1097</v>
      </c>
    </row>
    <row r="811" spans="1:2" x14ac:dyDescent="0.25">
      <c r="A811" t="s">
        <v>1098</v>
      </c>
      <c r="B811" t="s">
        <v>359</v>
      </c>
    </row>
    <row r="812" spans="1:2" x14ac:dyDescent="0.25">
      <c r="A812" t="s">
        <v>1099</v>
      </c>
      <c r="B812" t="s">
        <v>1100</v>
      </c>
    </row>
    <row r="813" spans="1:2" x14ac:dyDescent="0.25">
      <c r="A813" t="s">
        <v>1101</v>
      </c>
      <c r="B813" t="s">
        <v>526</v>
      </c>
    </row>
    <row r="814" spans="1:2" x14ac:dyDescent="0.25">
      <c r="A814" t="s">
        <v>1102</v>
      </c>
      <c r="B814" t="s">
        <v>215</v>
      </c>
    </row>
    <row r="815" spans="1:2" x14ac:dyDescent="0.25">
      <c r="A815" t="s">
        <v>1103</v>
      </c>
      <c r="B815" t="s">
        <v>1104</v>
      </c>
    </row>
    <row r="816" spans="1:2" x14ac:dyDescent="0.25">
      <c r="A816" t="s">
        <v>1105</v>
      </c>
      <c r="B816" t="s">
        <v>1106</v>
      </c>
    </row>
    <row r="817" spans="1:2" x14ac:dyDescent="0.25">
      <c r="A817" t="s">
        <v>1107</v>
      </c>
      <c r="B817" t="s">
        <v>1097</v>
      </c>
    </row>
    <row r="818" spans="1:2" x14ac:dyDescent="0.25">
      <c r="A818" t="s">
        <v>1108</v>
      </c>
      <c r="B818" t="s">
        <v>220</v>
      </c>
    </row>
    <row r="819" spans="1:2" x14ac:dyDescent="0.25">
      <c r="A819" t="s">
        <v>1109</v>
      </c>
      <c r="B819" t="s">
        <v>363</v>
      </c>
    </row>
    <row r="820" spans="1:2" x14ac:dyDescent="0.25">
      <c r="A820" t="s">
        <v>1110</v>
      </c>
      <c r="B820" t="s">
        <v>49</v>
      </c>
    </row>
    <row r="821" spans="1:2" x14ac:dyDescent="0.25">
      <c r="A821" t="s">
        <v>1111</v>
      </c>
      <c r="B821" t="s">
        <v>39</v>
      </c>
    </row>
    <row r="822" spans="1:2" x14ac:dyDescent="0.25">
      <c r="A822" t="s">
        <v>1112</v>
      </c>
      <c r="B822" t="s">
        <v>42</v>
      </c>
    </row>
    <row r="823" spans="1:2" x14ac:dyDescent="0.25">
      <c r="A823" t="s">
        <v>1113</v>
      </c>
      <c r="B823" t="s">
        <v>238</v>
      </c>
    </row>
    <row r="824" spans="1:2" x14ac:dyDescent="0.25">
      <c r="A824" t="s">
        <v>1114</v>
      </c>
      <c r="B824" t="s">
        <v>64</v>
      </c>
    </row>
    <row r="825" spans="1:2" x14ac:dyDescent="0.25">
      <c r="A825" t="s">
        <v>1115</v>
      </c>
      <c r="B825" t="s">
        <v>64</v>
      </c>
    </row>
    <row r="826" spans="1:2" x14ac:dyDescent="0.25">
      <c r="A826" t="s">
        <v>1116</v>
      </c>
      <c r="B826" t="s">
        <v>64</v>
      </c>
    </row>
    <row r="827" spans="1:2" x14ac:dyDescent="0.25">
      <c r="A827" t="s">
        <v>1117</v>
      </c>
      <c r="B827" t="s">
        <v>64</v>
      </c>
    </row>
    <row r="828" spans="1:2" x14ac:dyDescent="0.25">
      <c r="A828" t="s">
        <v>1118</v>
      </c>
      <c r="B828" t="s">
        <v>64</v>
      </c>
    </row>
    <row r="829" spans="1:2" x14ac:dyDescent="0.25">
      <c r="A829" t="s">
        <v>1119</v>
      </c>
      <c r="B829" t="s">
        <v>66</v>
      </c>
    </row>
    <row r="830" spans="1:2" x14ac:dyDescent="0.25">
      <c r="A830" t="s">
        <v>1120</v>
      </c>
      <c r="B830" t="s">
        <v>66</v>
      </c>
    </row>
    <row r="831" spans="1:2" x14ac:dyDescent="0.25">
      <c r="A831" t="s">
        <v>1121</v>
      </c>
      <c r="B831" t="s">
        <v>66</v>
      </c>
    </row>
    <row r="832" spans="1:2" x14ac:dyDescent="0.25">
      <c r="A832" t="s">
        <v>1122</v>
      </c>
      <c r="B832" t="s">
        <v>66</v>
      </c>
    </row>
    <row r="833" spans="1:2" x14ac:dyDescent="0.25">
      <c r="A833" t="s">
        <v>1123</v>
      </c>
      <c r="B833" t="s">
        <v>70</v>
      </c>
    </row>
    <row r="834" spans="1:2" x14ac:dyDescent="0.25">
      <c r="A834" t="s">
        <v>1124</v>
      </c>
      <c r="B834" t="s">
        <v>70</v>
      </c>
    </row>
    <row r="835" spans="1:2" x14ac:dyDescent="0.25">
      <c r="A835" t="s">
        <v>1125</v>
      </c>
      <c r="B835" t="s">
        <v>328</v>
      </c>
    </row>
    <row r="836" spans="1:2" x14ac:dyDescent="0.25">
      <c r="A836" t="s">
        <v>1126</v>
      </c>
      <c r="B836" t="s">
        <v>79</v>
      </c>
    </row>
    <row r="837" spans="1:2" x14ac:dyDescent="0.25">
      <c r="A837" t="s">
        <v>1127</v>
      </c>
      <c r="B837" t="s">
        <v>1128</v>
      </c>
    </row>
    <row r="838" spans="1:2" x14ac:dyDescent="0.25">
      <c r="A838" t="s">
        <v>1129</v>
      </c>
      <c r="B838" t="s">
        <v>1130</v>
      </c>
    </row>
    <row r="839" spans="1:2" x14ac:dyDescent="0.25">
      <c r="A839" t="s">
        <v>1131</v>
      </c>
      <c r="B839" t="s">
        <v>1132</v>
      </c>
    </row>
    <row r="840" spans="1:2" x14ac:dyDescent="0.25">
      <c r="A840" t="s">
        <v>1133</v>
      </c>
      <c r="B840" t="s">
        <v>258</v>
      </c>
    </row>
    <row r="841" spans="1:2" x14ac:dyDescent="0.25">
      <c r="A841" t="s">
        <v>1134</v>
      </c>
      <c r="B841" t="s">
        <v>258</v>
      </c>
    </row>
    <row r="842" spans="1:2" x14ac:dyDescent="0.25">
      <c r="A842" t="s">
        <v>1135</v>
      </c>
      <c r="B842" t="s">
        <v>1136</v>
      </c>
    </row>
    <row r="843" spans="1:2" x14ac:dyDescent="0.25">
      <c r="A843" t="s">
        <v>1137</v>
      </c>
      <c r="B843" t="s">
        <v>258</v>
      </c>
    </row>
    <row r="844" spans="1:2" x14ac:dyDescent="0.25">
      <c r="A844" t="s">
        <v>1138</v>
      </c>
      <c r="B844" t="s">
        <v>263</v>
      </c>
    </row>
    <row r="845" spans="1:2" x14ac:dyDescent="0.25">
      <c r="A845" t="s">
        <v>1139</v>
      </c>
      <c r="B845" t="s">
        <v>265</v>
      </c>
    </row>
    <row r="846" spans="1:2" x14ac:dyDescent="0.25">
      <c r="A846" t="s">
        <v>1140</v>
      </c>
      <c r="B846" t="s">
        <v>107</v>
      </c>
    </row>
    <row r="847" spans="1:2" x14ac:dyDescent="0.25">
      <c r="A847" t="s">
        <v>1141</v>
      </c>
      <c r="B847" t="s">
        <v>107</v>
      </c>
    </row>
    <row r="848" spans="1:2" x14ac:dyDescent="0.25">
      <c r="A848" t="s">
        <v>1142</v>
      </c>
      <c r="B848" t="s">
        <v>107</v>
      </c>
    </row>
    <row r="849" spans="1:2" x14ac:dyDescent="0.25">
      <c r="A849" t="s">
        <v>1143</v>
      </c>
      <c r="B849" t="s">
        <v>268</v>
      </c>
    </row>
    <row r="850" spans="1:2" x14ac:dyDescent="0.25">
      <c r="A850" t="s">
        <v>1144</v>
      </c>
      <c r="B850" t="s">
        <v>1145</v>
      </c>
    </row>
    <row r="851" spans="1:2" x14ac:dyDescent="0.25">
      <c r="A851" t="s">
        <v>1146</v>
      </c>
      <c r="B851" t="s">
        <v>258</v>
      </c>
    </row>
    <row r="852" spans="1:2" x14ac:dyDescent="0.25">
      <c r="A852" t="s">
        <v>1147</v>
      </c>
      <c r="B852" t="s">
        <v>129</v>
      </c>
    </row>
    <row r="853" spans="1:2" x14ac:dyDescent="0.25">
      <c r="A853" t="s">
        <v>1148</v>
      </c>
      <c r="B853" t="s">
        <v>129</v>
      </c>
    </row>
    <row r="854" spans="1:2" x14ac:dyDescent="0.25">
      <c r="A854" t="s">
        <v>1149</v>
      </c>
      <c r="B854" t="s">
        <v>280</v>
      </c>
    </row>
    <row r="855" spans="1:2" x14ac:dyDescent="0.25">
      <c r="A855" t="s">
        <v>1150</v>
      </c>
      <c r="B855" t="s">
        <v>133</v>
      </c>
    </row>
    <row r="856" spans="1:2" x14ac:dyDescent="0.25">
      <c r="A856" t="s">
        <v>1151</v>
      </c>
      <c r="B856" t="s">
        <v>133</v>
      </c>
    </row>
    <row r="857" spans="1:2" x14ac:dyDescent="0.25">
      <c r="A857" t="s">
        <v>1152</v>
      </c>
      <c r="B857" t="s">
        <v>137</v>
      </c>
    </row>
    <row r="858" spans="1:2" x14ac:dyDescent="0.25">
      <c r="A858" t="s">
        <v>1153</v>
      </c>
      <c r="B858" t="s">
        <v>137</v>
      </c>
    </row>
    <row r="859" spans="1:2" x14ac:dyDescent="0.25">
      <c r="A859" t="s">
        <v>1154</v>
      </c>
      <c r="B859" t="s">
        <v>135</v>
      </c>
    </row>
    <row r="860" spans="1:2" x14ac:dyDescent="0.25">
      <c r="A860" t="s">
        <v>1155</v>
      </c>
      <c r="B860" t="s">
        <v>135</v>
      </c>
    </row>
    <row r="861" spans="1:2" x14ac:dyDescent="0.25">
      <c r="A861" t="s">
        <v>1156</v>
      </c>
      <c r="B861" t="s">
        <v>135</v>
      </c>
    </row>
    <row r="862" spans="1:2" x14ac:dyDescent="0.25">
      <c r="A862" t="s">
        <v>1157</v>
      </c>
      <c r="B862" t="s">
        <v>135</v>
      </c>
    </row>
    <row r="863" spans="1:2" x14ac:dyDescent="0.25">
      <c r="A863" t="s">
        <v>1158</v>
      </c>
      <c r="B863" t="s">
        <v>141</v>
      </c>
    </row>
    <row r="864" spans="1:2" x14ac:dyDescent="0.25">
      <c r="A864" t="s">
        <v>1159</v>
      </c>
      <c r="B864" t="s">
        <v>141</v>
      </c>
    </row>
    <row r="865" spans="1:2" x14ac:dyDescent="0.25">
      <c r="A865" t="s">
        <v>1160</v>
      </c>
      <c r="B865" t="s">
        <v>141</v>
      </c>
    </row>
    <row r="866" spans="1:2" x14ac:dyDescent="0.25">
      <c r="A866" t="s">
        <v>1161</v>
      </c>
      <c r="B866" t="s">
        <v>135</v>
      </c>
    </row>
    <row r="867" spans="1:2" x14ac:dyDescent="0.25">
      <c r="A867" t="s">
        <v>1162</v>
      </c>
      <c r="B867" t="s">
        <v>135</v>
      </c>
    </row>
    <row r="868" spans="1:2" x14ac:dyDescent="0.25">
      <c r="A868" t="s">
        <v>1163</v>
      </c>
      <c r="B868" t="s">
        <v>141</v>
      </c>
    </row>
    <row r="869" spans="1:2" x14ac:dyDescent="0.25">
      <c r="A869" t="s">
        <v>1164</v>
      </c>
      <c r="B869" t="s">
        <v>141</v>
      </c>
    </row>
    <row r="870" spans="1:2" x14ac:dyDescent="0.25">
      <c r="A870" t="s">
        <v>1165</v>
      </c>
      <c r="B870" t="s">
        <v>141</v>
      </c>
    </row>
    <row r="871" spans="1:2" x14ac:dyDescent="0.25">
      <c r="A871" t="s">
        <v>1166</v>
      </c>
      <c r="B871" t="s">
        <v>141</v>
      </c>
    </row>
    <row r="872" spans="1:2" x14ac:dyDescent="0.25">
      <c r="A872" t="s">
        <v>1167</v>
      </c>
      <c r="B872" t="s">
        <v>141</v>
      </c>
    </row>
    <row r="873" spans="1:2" x14ac:dyDescent="0.25">
      <c r="A873" t="s">
        <v>1168</v>
      </c>
      <c r="B873" t="s">
        <v>141</v>
      </c>
    </row>
    <row r="874" spans="1:2" x14ac:dyDescent="0.25">
      <c r="A874" t="s">
        <v>1169</v>
      </c>
      <c r="B874" t="s">
        <v>141</v>
      </c>
    </row>
    <row r="875" spans="1:2" x14ac:dyDescent="0.25">
      <c r="A875" t="s">
        <v>1170</v>
      </c>
      <c r="B875" t="s">
        <v>141</v>
      </c>
    </row>
    <row r="876" spans="1:2" x14ac:dyDescent="0.25">
      <c r="A876" t="s">
        <v>1171</v>
      </c>
      <c r="B876" t="s">
        <v>150</v>
      </c>
    </row>
    <row r="877" spans="1:2" x14ac:dyDescent="0.25">
      <c r="A877" t="s">
        <v>1172</v>
      </c>
      <c r="B877" t="s">
        <v>150</v>
      </c>
    </row>
    <row r="878" spans="1:2" x14ac:dyDescent="0.25">
      <c r="A878" t="s">
        <v>1173</v>
      </c>
      <c r="B878" t="s">
        <v>153</v>
      </c>
    </row>
    <row r="879" spans="1:2" x14ac:dyDescent="0.25">
      <c r="A879" t="s">
        <v>1174</v>
      </c>
      <c r="B879" t="s">
        <v>150</v>
      </c>
    </row>
    <row r="880" spans="1:2" x14ac:dyDescent="0.25">
      <c r="A880" t="s">
        <v>1175</v>
      </c>
      <c r="B880" t="s">
        <v>150</v>
      </c>
    </row>
    <row r="881" spans="1:2" x14ac:dyDescent="0.25">
      <c r="A881" t="s">
        <v>1176</v>
      </c>
      <c r="B881" t="s">
        <v>153</v>
      </c>
    </row>
    <row r="882" spans="1:2" x14ac:dyDescent="0.25">
      <c r="A882" t="s">
        <v>1177</v>
      </c>
      <c r="B882" t="s">
        <v>153</v>
      </c>
    </row>
    <row r="883" spans="1:2" x14ac:dyDescent="0.25">
      <c r="A883" t="s">
        <v>1178</v>
      </c>
      <c r="B883" t="s">
        <v>893</v>
      </c>
    </row>
    <row r="884" spans="1:2" x14ac:dyDescent="0.25">
      <c r="A884" t="s">
        <v>1179</v>
      </c>
      <c r="B884" t="s">
        <v>153</v>
      </c>
    </row>
    <row r="885" spans="1:2" x14ac:dyDescent="0.25">
      <c r="A885" t="s">
        <v>1180</v>
      </c>
      <c r="B885" t="s">
        <v>1181</v>
      </c>
    </row>
    <row r="886" spans="1:2" x14ac:dyDescent="0.25">
      <c r="A886" t="s">
        <v>1182</v>
      </c>
      <c r="B886" t="s">
        <v>1183</v>
      </c>
    </row>
    <row r="887" spans="1:2" x14ac:dyDescent="0.25">
      <c r="A887" t="s">
        <v>1184</v>
      </c>
      <c r="B887" t="s">
        <v>1185</v>
      </c>
    </row>
    <row r="888" spans="1:2" x14ac:dyDescent="0.25">
      <c r="A888" t="s">
        <v>1186</v>
      </c>
      <c r="B888" t="s">
        <v>1187</v>
      </c>
    </row>
    <row r="889" spans="1:2" x14ac:dyDescent="0.25">
      <c r="A889" t="s">
        <v>1188</v>
      </c>
      <c r="B889" t="s">
        <v>1189</v>
      </c>
    </row>
    <row r="890" spans="1:2" x14ac:dyDescent="0.25">
      <c r="A890" t="s">
        <v>1190</v>
      </c>
      <c r="B890" t="s">
        <v>1191</v>
      </c>
    </row>
    <row r="891" spans="1:2" x14ac:dyDescent="0.25">
      <c r="A891" t="s">
        <v>1192</v>
      </c>
      <c r="B891" t="s">
        <v>1193</v>
      </c>
    </row>
    <row r="892" spans="1:2" x14ac:dyDescent="0.25">
      <c r="A892" t="s">
        <v>1194</v>
      </c>
      <c r="B892" t="s">
        <v>1193</v>
      </c>
    </row>
    <row r="893" spans="1:2" x14ac:dyDescent="0.25">
      <c r="A893" t="s">
        <v>1195</v>
      </c>
      <c r="B893" t="s">
        <v>1196</v>
      </c>
    </row>
    <row r="894" spans="1:2" x14ac:dyDescent="0.25">
      <c r="A894" t="s">
        <v>1197</v>
      </c>
      <c r="B894" t="s">
        <v>1198</v>
      </c>
    </row>
    <row r="895" spans="1:2" x14ac:dyDescent="0.25">
      <c r="A895" t="s">
        <v>1199</v>
      </c>
      <c r="B895" t="s">
        <v>619</v>
      </c>
    </row>
    <row r="896" spans="1:2" x14ac:dyDescent="0.25">
      <c r="A896" t="s">
        <v>1200</v>
      </c>
      <c r="B896" t="s">
        <v>1201</v>
      </c>
    </row>
    <row r="897" spans="1:2" x14ac:dyDescent="0.25">
      <c r="A897" t="s">
        <v>1202</v>
      </c>
      <c r="B897" t="s">
        <v>173</v>
      </c>
    </row>
    <row r="898" spans="1:2" x14ac:dyDescent="0.25">
      <c r="A898" t="s">
        <v>1203</v>
      </c>
      <c r="B898" t="s">
        <v>173</v>
      </c>
    </row>
    <row r="899" spans="1:2" x14ac:dyDescent="0.25">
      <c r="A899" t="s">
        <v>1204</v>
      </c>
      <c r="B899" t="s">
        <v>177</v>
      </c>
    </row>
    <row r="900" spans="1:2" x14ac:dyDescent="0.25">
      <c r="A900" t="s">
        <v>1205</v>
      </c>
      <c r="B900" t="s">
        <v>177</v>
      </c>
    </row>
    <row r="901" spans="1:2" x14ac:dyDescent="0.25">
      <c r="A901" t="s">
        <v>1206</v>
      </c>
      <c r="B901" t="s">
        <v>177</v>
      </c>
    </row>
    <row r="902" spans="1:2" x14ac:dyDescent="0.25">
      <c r="A902" t="s">
        <v>1207</v>
      </c>
      <c r="B902" t="s">
        <v>177</v>
      </c>
    </row>
    <row r="903" spans="1:2" x14ac:dyDescent="0.25">
      <c r="A903" t="s">
        <v>1208</v>
      </c>
      <c r="B903" t="s">
        <v>177</v>
      </c>
    </row>
    <row r="904" spans="1:2" x14ac:dyDescent="0.25">
      <c r="A904" t="s">
        <v>1209</v>
      </c>
      <c r="B904" t="s">
        <v>183</v>
      </c>
    </row>
    <row r="905" spans="1:2" x14ac:dyDescent="0.25">
      <c r="A905" t="s">
        <v>1210</v>
      </c>
      <c r="B905" t="s">
        <v>177</v>
      </c>
    </row>
    <row r="906" spans="1:2" x14ac:dyDescent="0.25">
      <c r="A906" t="s">
        <v>1211</v>
      </c>
      <c r="B906" t="s">
        <v>183</v>
      </c>
    </row>
    <row r="907" spans="1:2" x14ac:dyDescent="0.25">
      <c r="A907" t="s">
        <v>1212</v>
      </c>
      <c r="B907" t="s">
        <v>325</v>
      </c>
    </row>
    <row r="908" spans="1:2" x14ac:dyDescent="0.25">
      <c r="A908" t="s">
        <v>1213</v>
      </c>
      <c r="B908" t="s">
        <v>56</v>
      </c>
    </row>
    <row r="909" spans="1:2" x14ac:dyDescent="0.25">
      <c r="A909" t="s">
        <v>1214</v>
      </c>
      <c r="B909" t="s">
        <v>56</v>
      </c>
    </row>
    <row r="910" spans="1:2" x14ac:dyDescent="0.25">
      <c r="A910" t="s">
        <v>1215</v>
      </c>
      <c r="B910" t="s">
        <v>127</v>
      </c>
    </row>
    <row r="911" spans="1:2" x14ac:dyDescent="0.25">
      <c r="A911" t="s">
        <v>1216</v>
      </c>
      <c r="B911" t="s">
        <v>68</v>
      </c>
    </row>
    <row r="912" spans="1:2" x14ac:dyDescent="0.25">
      <c r="B912" t="s">
        <v>1217</v>
      </c>
    </row>
    <row r="913" spans="2:2" x14ac:dyDescent="0.25">
      <c r="B913" t="s">
        <v>1217</v>
      </c>
    </row>
    <row r="914" spans="2:2" x14ac:dyDescent="0.25">
      <c r="B914" t="s">
        <v>1217</v>
      </c>
    </row>
    <row r="915" spans="2:2" x14ac:dyDescent="0.25">
      <c r="B915" t="s">
        <v>1217</v>
      </c>
    </row>
    <row r="916" spans="2:2" x14ac:dyDescent="0.25">
      <c r="B916" t="s">
        <v>1217</v>
      </c>
    </row>
    <row r="917" spans="2:2" x14ac:dyDescent="0.25">
      <c r="B917" t="s">
        <v>1217</v>
      </c>
    </row>
    <row r="918" spans="2:2" x14ac:dyDescent="0.25">
      <c r="B918" t="s">
        <v>1217</v>
      </c>
    </row>
    <row r="919" spans="2:2" x14ac:dyDescent="0.25">
      <c r="B919" t="s">
        <v>1217</v>
      </c>
    </row>
    <row r="920" spans="2:2" x14ac:dyDescent="0.25">
      <c r="B920" t="s">
        <v>1217</v>
      </c>
    </row>
    <row r="921" spans="2:2" x14ac:dyDescent="0.25">
      <c r="B921" t="s">
        <v>1217</v>
      </c>
    </row>
    <row r="922" spans="2:2" x14ac:dyDescent="0.25">
      <c r="B922" t="s">
        <v>1217</v>
      </c>
    </row>
    <row r="923" spans="2:2" x14ac:dyDescent="0.25">
      <c r="B923" t="s">
        <v>1217</v>
      </c>
    </row>
    <row r="924" spans="2:2" x14ac:dyDescent="0.25">
      <c r="B924" t="s">
        <v>1217</v>
      </c>
    </row>
    <row r="925" spans="2:2" x14ac:dyDescent="0.25">
      <c r="B925" t="s">
        <v>1217</v>
      </c>
    </row>
    <row r="926" spans="2:2" x14ac:dyDescent="0.25">
      <c r="B926" t="s">
        <v>1217</v>
      </c>
    </row>
    <row r="927" spans="2:2" x14ac:dyDescent="0.25">
      <c r="B927" t="s">
        <v>1217</v>
      </c>
    </row>
    <row r="928" spans="2:2" x14ac:dyDescent="0.25">
      <c r="B928" t="s">
        <v>1217</v>
      </c>
    </row>
    <row r="929" spans="2:2" x14ac:dyDescent="0.25">
      <c r="B929" t="s">
        <v>1217</v>
      </c>
    </row>
    <row r="930" spans="2:2" x14ac:dyDescent="0.25">
      <c r="B930" t="s">
        <v>1217</v>
      </c>
    </row>
    <row r="931" spans="2:2" x14ac:dyDescent="0.25">
      <c r="B931" t="s">
        <v>1217</v>
      </c>
    </row>
    <row r="932" spans="2:2" x14ac:dyDescent="0.25">
      <c r="B932" t="s">
        <v>1217</v>
      </c>
    </row>
    <row r="933" spans="2:2" x14ac:dyDescent="0.25">
      <c r="B933" t="s">
        <v>1217</v>
      </c>
    </row>
    <row r="934" spans="2:2" x14ac:dyDescent="0.25">
      <c r="B934" t="s">
        <v>1217</v>
      </c>
    </row>
    <row r="935" spans="2:2" x14ac:dyDescent="0.25">
      <c r="B935" t="s">
        <v>1217</v>
      </c>
    </row>
    <row r="936" spans="2:2" x14ac:dyDescent="0.25">
      <c r="B936" t="s">
        <v>1217</v>
      </c>
    </row>
    <row r="937" spans="2:2" x14ac:dyDescent="0.25">
      <c r="B937" t="s">
        <v>1217</v>
      </c>
    </row>
    <row r="938" spans="2:2" x14ac:dyDescent="0.25">
      <c r="B938" t="s">
        <v>1217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C3"/>
  <sheetViews>
    <sheetView topLeftCell="AV1" zoomScale="130" zoomScaleNormal="130" workbookViewId="0">
      <selection activeCell="BC7" sqref="BC7"/>
    </sheetView>
  </sheetViews>
  <sheetFormatPr defaultRowHeight="15" x14ac:dyDescent="0.25"/>
  <cols>
    <col min="1" max="1" width="24.140625" bestFit="1" customWidth="1"/>
    <col min="2" max="2" width="22.85546875" bestFit="1" customWidth="1"/>
    <col min="3" max="3" width="21.42578125" bestFit="1" customWidth="1"/>
    <col min="4" max="4" width="31" bestFit="1" customWidth="1"/>
    <col min="5" max="6" width="20.85546875" bestFit="1" customWidth="1"/>
    <col min="7" max="8" width="21.42578125" bestFit="1" customWidth="1"/>
    <col min="55" max="55" width="11.140625" bestFit="1" customWidth="1"/>
  </cols>
  <sheetData>
    <row r="1" spans="1:55" x14ac:dyDescent="0.25">
      <c r="A1" s="93" t="s">
        <v>1364</v>
      </c>
      <c r="B1" s="93" t="s">
        <v>1370</v>
      </c>
      <c r="C1" s="93" t="s">
        <v>1365</v>
      </c>
      <c r="D1" s="92" t="s">
        <v>1218</v>
      </c>
      <c r="E1" s="92" t="s">
        <v>1382</v>
      </c>
      <c r="F1" s="92" t="s">
        <v>1383</v>
      </c>
      <c r="G1" s="92" t="s">
        <v>1386</v>
      </c>
      <c r="H1" s="92" t="s">
        <v>1387</v>
      </c>
      <c r="BC1" t="s">
        <v>1374</v>
      </c>
    </row>
    <row r="2" spans="1:55" s="86" customFormat="1" ht="29.25" x14ac:dyDescent="0.25">
      <c r="A2" s="87" t="s">
        <v>1356</v>
      </c>
      <c r="B2" s="87" t="s">
        <v>1357</v>
      </c>
      <c r="C2" s="87" t="s">
        <v>1372</v>
      </c>
      <c r="D2" s="87" t="s">
        <v>1379</v>
      </c>
      <c r="E2" s="89" t="s">
        <v>1385</v>
      </c>
      <c r="F2" s="89" t="s">
        <v>1384</v>
      </c>
      <c r="G2" s="88" t="s">
        <v>1375</v>
      </c>
      <c r="H2" s="88" t="s">
        <v>1375</v>
      </c>
      <c r="BC2" s="86" t="s">
        <v>1381</v>
      </c>
    </row>
    <row r="3" spans="1:55" s="86" customFormat="1" ht="29.25" x14ac:dyDescent="0.25">
      <c r="A3" s="87" t="s">
        <v>1371</v>
      </c>
      <c r="B3" s="87" t="s">
        <v>1357</v>
      </c>
      <c r="C3" s="87" t="s">
        <v>1373</v>
      </c>
      <c r="D3" s="87" t="s">
        <v>1378</v>
      </c>
      <c r="E3" s="89" t="s">
        <v>1385</v>
      </c>
      <c r="F3" s="89" t="s">
        <v>1384</v>
      </c>
      <c r="G3" s="88" t="s">
        <v>1376</v>
      </c>
      <c r="H3" s="88" t="s">
        <v>1376</v>
      </c>
      <c r="BC3" s="86" t="s">
        <v>1380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A98"/>
  <sheetViews>
    <sheetView tabSelected="1" topLeftCell="A101" workbookViewId="0">
      <selection activeCell="A105" sqref="A105"/>
    </sheetView>
  </sheetViews>
  <sheetFormatPr defaultRowHeight="15" x14ac:dyDescent="0.25"/>
  <cols>
    <col min="1" max="1" width="42.7109375" customWidth="1"/>
  </cols>
  <sheetData>
    <row r="1" spans="1:1" x14ac:dyDescent="0.25">
      <c r="A1" t="s">
        <v>1356</v>
      </c>
    </row>
    <row r="2" spans="1:1" x14ac:dyDescent="0.25">
      <c r="A2" t="s">
        <v>1357</v>
      </c>
    </row>
    <row r="3" spans="1:1" x14ac:dyDescent="0.25">
      <c r="A3" t="s">
        <v>1372</v>
      </c>
    </row>
    <row r="4" spans="1:1" x14ac:dyDescent="0.25">
      <c r="A4" t="s">
        <v>1379</v>
      </c>
    </row>
    <row r="5" spans="1:1" x14ac:dyDescent="0.25">
      <c r="A5" s="94" t="s">
        <v>1385</v>
      </c>
    </row>
    <row r="6" spans="1:1" x14ac:dyDescent="0.25">
      <c r="A6" s="94" t="s">
        <v>1384</v>
      </c>
    </row>
    <row r="7" spans="1:1" ht="30" x14ac:dyDescent="0.25">
      <c r="A7" s="94" t="s">
        <v>1367</v>
      </c>
    </row>
    <row r="8" spans="1:1" ht="30" x14ac:dyDescent="0.25">
      <c r="A8" s="94" t="s">
        <v>1367</v>
      </c>
    </row>
    <row r="98" spans="53:53" x14ac:dyDescent="0.25">
      <c r="BA98" s="9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DU499"/>
  <sheetViews>
    <sheetView view="pageBreakPreview" topLeftCell="A69" zoomScale="145" zoomScaleNormal="160" zoomScaleSheetLayoutView="145" workbookViewId="0">
      <selection activeCell="A74" sqref="A74:O78"/>
    </sheetView>
  </sheetViews>
  <sheetFormatPr defaultColWidth="1.42578125" defaultRowHeight="7.5" customHeight="1" x14ac:dyDescent="0.25"/>
  <cols>
    <col min="1" max="6" width="1.42578125" style="2"/>
    <col min="7" max="7" width="1.42578125" style="2" customWidth="1"/>
    <col min="8" max="12" width="1.42578125" style="2"/>
    <col min="13" max="13" width="1.42578125" style="2" customWidth="1"/>
    <col min="14" max="14" width="1.42578125" style="2"/>
    <col min="15" max="15" width="1.42578125" style="2" customWidth="1"/>
    <col min="16" max="18" width="1.42578125" style="2"/>
    <col min="19" max="19" width="1.42578125" style="2" customWidth="1"/>
    <col min="20" max="21" width="1.42578125" style="2"/>
    <col min="22" max="22" width="1.42578125" style="2" customWidth="1"/>
    <col min="23" max="26" width="1.42578125" style="2"/>
    <col min="27" max="27" width="1.42578125" style="2" customWidth="1"/>
    <col min="28" max="30" width="1.42578125" style="2"/>
    <col min="31" max="31" width="1.42578125" style="2" customWidth="1"/>
    <col min="32" max="32" width="1.42578125" style="2"/>
    <col min="33" max="33" width="1.42578125" style="2" customWidth="1"/>
    <col min="34" max="38" width="1.42578125" style="2"/>
    <col min="39" max="40" width="1.42578125" style="2" customWidth="1"/>
    <col min="41" max="64" width="1.42578125" style="2"/>
    <col min="65" max="71" width="0" style="2" hidden="1" customWidth="1"/>
    <col min="72" max="83" width="1.42578125" style="2" customWidth="1"/>
    <col min="84" max="262" width="1.42578125" style="2"/>
    <col min="263" max="263" width="1.42578125" style="2" customWidth="1"/>
    <col min="264" max="268" width="1.42578125" style="2"/>
    <col min="269" max="269" width="1.42578125" style="2" customWidth="1"/>
    <col min="270" max="270" width="1.42578125" style="2"/>
    <col min="271" max="271" width="1.42578125" style="2" customWidth="1"/>
    <col min="272" max="274" width="1.42578125" style="2"/>
    <col min="275" max="275" width="1.42578125" style="2" customWidth="1"/>
    <col min="276" max="277" width="1.42578125" style="2"/>
    <col min="278" max="278" width="1.42578125" style="2" customWidth="1"/>
    <col min="279" max="282" width="1.42578125" style="2"/>
    <col min="283" max="283" width="1.42578125" style="2" customWidth="1"/>
    <col min="284" max="286" width="1.42578125" style="2"/>
    <col min="287" max="287" width="1.42578125" style="2" customWidth="1"/>
    <col min="288" max="288" width="1.42578125" style="2"/>
    <col min="289" max="289" width="1.42578125" style="2" customWidth="1"/>
    <col min="290" max="294" width="1.42578125" style="2"/>
    <col min="295" max="296" width="1.42578125" style="2" customWidth="1"/>
    <col min="297" max="320" width="1.42578125" style="2"/>
    <col min="321" max="327" width="0" style="2" hidden="1" customWidth="1"/>
    <col min="328" max="339" width="1.42578125" style="2" customWidth="1"/>
    <col min="340" max="518" width="1.42578125" style="2"/>
    <col min="519" max="519" width="1.42578125" style="2" customWidth="1"/>
    <col min="520" max="524" width="1.42578125" style="2"/>
    <col min="525" max="525" width="1.42578125" style="2" customWidth="1"/>
    <col min="526" max="526" width="1.42578125" style="2"/>
    <col min="527" max="527" width="1.42578125" style="2" customWidth="1"/>
    <col min="528" max="530" width="1.42578125" style="2"/>
    <col min="531" max="531" width="1.42578125" style="2" customWidth="1"/>
    <col min="532" max="533" width="1.42578125" style="2"/>
    <col min="534" max="534" width="1.42578125" style="2" customWidth="1"/>
    <col min="535" max="538" width="1.42578125" style="2"/>
    <col min="539" max="539" width="1.42578125" style="2" customWidth="1"/>
    <col min="540" max="542" width="1.42578125" style="2"/>
    <col min="543" max="543" width="1.42578125" style="2" customWidth="1"/>
    <col min="544" max="544" width="1.42578125" style="2"/>
    <col min="545" max="545" width="1.42578125" style="2" customWidth="1"/>
    <col min="546" max="550" width="1.42578125" style="2"/>
    <col min="551" max="552" width="1.42578125" style="2" customWidth="1"/>
    <col min="553" max="576" width="1.42578125" style="2"/>
    <col min="577" max="583" width="0" style="2" hidden="1" customWidth="1"/>
    <col min="584" max="595" width="1.42578125" style="2" customWidth="1"/>
    <col min="596" max="774" width="1.42578125" style="2"/>
    <col min="775" max="775" width="1.42578125" style="2" customWidth="1"/>
    <col min="776" max="780" width="1.42578125" style="2"/>
    <col min="781" max="781" width="1.42578125" style="2" customWidth="1"/>
    <col min="782" max="782" width="1.42578125" style="2"/>
    <col min="783" max="783" width="1.42578125" style="2" customWidth="1"/>
    <col min="784" max="786" width="1.42578125" style="2"/>
    <col min="787" max="787" width="1.42578125" style="2" customWidth="1"/>
    <col min="788" max="789" width="1.42578125" style="2"/>
    <col min="790" max="790" width="1.42578125" style="2" customWidth="1"/>
    <col min="791" max="794" width="1.42578125" style="2"/>
    <col min="795" max="795" width="1.42578125" style="2" customWidth="1"/>
    <col min="796" max="798" width="1.42578125" style="2"/>
    <col min="799" max="799" width="1.42578125" style="2" customWidth="1"/>
    <col min="800" max="800" width="1.42578125" style="2"/>
    <col min="801" max="801" width="1.42578125" style="2" customWidth="1"/>
    <col min="802" max="806" width="1.42578125" style="2"/>
    <col min="807" max="808" width="1.42578125" style="2" customWidth="1"/>
    <col min="809" max="832" width="1.42578125" style="2"/>
    <col min="833" max="839" width="0" style="2" hidden="1" customWidth="1"/>
    <col min="840" max="851" width="1.42578125" style="2" customWidth="1"/>
    <col min="852" max="1030" width="1.42578125" style="2"/>
    <col min="1031" max="1031" width="1.42578125" style="2" customWidth="1"/>
    <col min="1032" max="1036" width="1.42578125" style="2"/>
    <col min="1037" max="1037" width="1.42578125" style="2" customWidth="1"/>
    <col min="1038" max="1038" width="1.42578125" style="2"/>
    <col min="1039" max="1039" width="1.42578125" style="2" customWidth="1"/>
    <col min="1040" max="1042" width="1.42578125" style="2"/>
    <col min="1043" max="1043" width="1.42578125" style="2" customWidth="1"/>
    <col min="1044" max="1045" width="1.42578125" style="2"/>
    <col min="1046" max="1046" width="1.42578125" style="2" customWidth="1"/>
    <col min="1047" max="1050" width="1.42578125" style="2"/>
    <col min="1051" max="1051" width="1.42578125" style="2" customWidth="1"/>
    <col min="1052" max="1054" width="1.42578125" style="2"/>
    <col min="1055" max="1055" width="1.42578125" style="2" customWidth="1"/>
    <col min="1056" max="1056" width="1.42578125" style="2"/>
    <col min="1057" max="1057" width="1.42578125" style="2" customWidth="1"/>
    <col min="1058" max="1062" width="1.42578125" style="2"/>
    <col min="1063" max="1064" width="1.42578125" style="2" customWidth="1"/>
    <col min="1065" max="1088" width="1.42578125" style="2"/>
    <col min="1089" max="1095" width="0" style="2" hidden="1" customWidth="1"/>
    <col min="1096" max="1107" width="1.42578125" style="2" customWidth="1"/>
    <col min="1108" max="1286" width="1.42578125" style="2"/>
    <col min="1287" max="1287" width="1.42578125" style="2" customWidth="1"/>
    <col min="1288" max="1292" width="1.42578125" style="2"/>
    <col min="1293" max="1293" width="1.42578125" style="2" customWidth="1"/>
    <col min="1294" max="1294" width="1.42578125" style="2"/>
    <col min="1295" max="1295" width="1.42578125" style="2" customWidth="1"/>
    <col min="1296" max="1298" width="1.42578125" style="2"/>
    <col min="1299" max="1299" width="1.42578125" style="2" customWidth="1"/>
    <col min="1300" max="1301" width="1.42578125" style="2"/>
    <col min="1302" max="1302" width="1.42578125" style="2" customWidth="1"/>
    <col min="1303" max="1306" width="1.42578125" style="2"/>
    <col min="1307" max="1307" width="1.42578125" style="2" customWidth="1"/>
    <col min="1308" max="1310" width="1.42578125" style="2"/>
    <col min="1311" max="1311" width="1.42578125" style="2" customWidth="1"/>
    <col min="1312" max="1312" width="1.42578125" style="2"/>
    <col min="1313" max="1313" width="1.42578125" style="2" customWidth="1"/>
    <col min="1314" max="1318" width="1.42578125" style="2"/>
    <col min="1319" max="1320" width="1.42578125" style="2" customWidth="1"/>
    <col min="1321" max="1344" width="1.42578125" style="2"/>
    <col min="1345" max="1351" width="0" style="2" hidden="1" customWidth="1"/>
    <col min="1352" max="1363" width="1.42578125" style="2" customWidth="1"/>
    <col min="1364" max="1542" width="1.42578125" style="2"/>
    <col min="1543" max="1543" width="1.42578125" style="2" customWidth="1"/>
    <col min="1544" max="1548" width="1.42578125" style="2"/>
    <col min="1549" max="1549" width="1.42578125" style="2" customWidth="1"/>
    <col min="1550" max="1550" width="1.42578125" style="2"/>
    <col min="1551" max="1551" width="1.42578125" style="2" customWidth="1"/>
    <col min="1552" max="1554" width="1.42578125" style="2"/>
    <col min="1555" max="1555" width="1.42578125" style="2" customWidth="1"/>
    <col min="1556" max="1557" width="1.42578125" style="2"/>
    <col min="1558" max="1558" width="1.42578125" style="2" customWidth="1"/>
    <col min="1559" max="1562" width="1.42578125" style="2"/>
    <col min="1563" max="1563" width="1.42578125" style="2" customWidth="1"/>
    <col min="1564" max="1566" width="1.42578125" style="2"/>
    <col min="1567" max="1567" width="1.42578125" style="2" customWidth="1"/>
    <col min="1568" max="1568" width="1.42578125" style="2"/>
    <col min="1569" max="1569" width="1.42578125" style="2" customWidth="1"/>
    <col min="1570" max="1574" width="1.42578125" style="2"/>
    <col min="1575" max="1576" width="1.42578125" style="2" customWidth="1"/>
    <col min="1577" max="1600" width="1.42578125" style="2"/>
    <col min="1601" max="1607" width="0" style="2" hidden="1" customWidth="1"/>
    <col min="1608" max="1619" width="1.42578125" style="2" customWidth="1"/>
    <col min="1620" max="1798" width="1.42578125" style="2"/>
    <col min="1799" max="1799" width="1.42578125" style="2" customWidth="1"/>
    <col min="1800" max="1804" width="1.42578125" style="2"/>
    <col min="1805" max="1805" width="1.42578125" style="2" customWidth="1"/>
    <col min="1806" max="1806" width="1.42578125" style="2"/>
    <col min="1807" max="1807" width="1.42578125" style="2" customWidth="1"/>
    <col min="1808" max="1810" width="1.42578125" style="2"/>
    <col min="1811" max="1811" width="1.42578125" style="2" customWidth="1"/>
    <col min="1812" max="1813" width="1.42578125" style="2"/>
    <col min="1814" max="1814" width="1.42578125" style="2" customWidth="1"/>
    <col min="1815" max="1818" width="1.42578125" style="2"/>
    <col min="1819" max="1819" width="1.42578125" style="2" customWidth="1"/>
    <col min="1820" max="1822" width="1.42578125" style="2"/>
    <col min="1823" max="1823" width="1.42578125" style="2" customWidth="1"/>
    <col min="1824" max="1824" width="1.42578125" style="2"/>
    <col min="1825" max="1825" width="1.42578125" style="2" customWidth="1"/>
    <col min="1826" max="1830" width="1.42578125" style="2"/>
    <col min="1831" max="1832" width="1.42578125" style="2" customWidth="1"/>
    <col min="1833" max="1856" width="1.42578125" style="2"/>
    <col min="1857" max="1863" width="0" style="2" hidden="1" customWidth="1"/>
    <col min="1864" max="1875" width="1.42578125" style="2" customWidth="1"/>
    <col min="1876" max="2054" width="1.42578125" style="2"/>
    <col min="2055" max="2055" width="1.42578125" style="2" customWidth="1"/>
    <col min="2056" max="2060" width="1.42578125" style="2"/>
    <col min="2061" max="2061" width="1.42578125" style="2" customWidth="1"/>
    <col min="2062" max="2062" width="1.42578125" style="2"/>
    <col min="2063" max="2063" width="1.42578125" style="2" customWidth="1"/>
    <col min="2064" max="2066" width="1.42578125" style="2"/>
    <col min="2067" max="2067" width="1.42578125" style="2" customWidth="1"/>
    <col min="2068" max="2069" width="1.42578125" style="2"/>
    <col min="2070" max="2070" width="1.42578125" style="2" customWidth="1"/>
    <col min="2071" max="2074" width="1.42578125" style="2"/>
    <col min="2075" max="2075" width="1.42578125" style="2" customWidth="1"/>
    <col min="2076" max="2078" width="1.42578125" style="2"/>
    <col min="2079" max="2079" width="1.42578125" style="2" customWidth="1"/>
    <col min="2080" max="2080" width="1.42578125" style="2"/>
    <col min="2081" max="2081" width="1.42578125" style="2" customWidth="1"/>
    <col min="2082" max="2086" width="1.42578125" style="2"/>
    <col min="2087" max="2088" width="1.42578125" style="2" customWidth="1"/>
    <col min="2089" max="2112" width="1.42578125" style="2"/>
    <col min="2113" max="2119" width="0" style="2" hidden="1" customWidth="1"/>
    <col min="2120" max="2131" width="1.42578125" style="2" customWidth="1"/>
    <col min="2132" max="2310" width="1.42578125" style="2"/>
    <col min="2311" max="2311" width="1.42578125" style="2" customWidth="1"/>
    <col min="2312" max="2316" width="1.42578125" style="2"/>
    <col min="2317" max="2317" width="1.42578125" style="2" customWidth="1"/>
    <col min="2318" max="2318" width="1.42578125" style="2"/>
    <col min="2319" max="2319" width="1.42578125" style="2" customWidth="1"/>
    <col min="2320" max="2322" width="1.42578125" style="2"/>
    <col min="2323" max="2323" width="1.42578125" style="2" customWidth="1"/>
    <col min="2324" max="2325" width="1.42578125" style="2"/>
    <col min="2326" max="2326" width="1.42578125" style="2" customWidth="1"/>
    <col min="2327" max="2330" width="1.42578125" style="2"/>
    <col min="2331" max="2331" width="1.42578125" style="2" customWidth="1"/>
    <col min="2332" max="2334" width="1.42578125" style="2"/>
    <col min="2335" max="2335" width="1.42578125" style="2" customWidth="1"/>
    <col min="2336" max="2336" width="1.42578125" style="2"/>
    <col min="2337" max="2337" width="1.42578125" style="2" customWidth="1"/>
    <col min="2338" max="2342" width="1.42578125" style="2"/>
    <col min="2343" max="2344" width="1.42578125" style="2" customWidth="1"/>
    <col min="2345" max="2368" width="1.42578125" style="2"/>
    <col min="2369" max="2375" width="0" style="2" hidden="1" customWidth="1"/>
    <col min="2376" max="2387" width="1.42578125" style="2" customWidth="1"/>
    <col min="2388" max="2566" width="1.42578125" style="2"/>
    <col min="2567" max="2567" width="1.42578125" style="2" customWidth="1"/>
    <col min="2568" max="2572" width="1.42578125" style="2"/>
    <col min="2573" max="2573" width="1.42578125" style="2" customWidth="1"/>
    <col min="2574" max="2574" width="1.42578125" style="2"/>
    <col min="2575" max="2575" width="1.42578125" style="2" customWidth="1"/>
    <col min="2576" max="2578" width="1.42578125" style="2"/>
    <col min="2579" max="2579" width="1.42578125" style="2" customWidth="1"/>
    <col min="2580" max="2581" width="1.42578125" style="2"/>
    <col min="2582" max="2582" width="1.42578125" style="2" customWidth="1"/>
    <col min="2583" max="2586" width="1.42578125" style="2"/>
    <col min="2587" max="2587" width="1.42578125" style="2" customWidth="1"/>
    <col min="2588" max="2590" width="1.42578125" style="2"/>
    <col min="2591" max="2591" width="1.42578125" style="2" customWidth="1"/>
    <col min="2592" max="2592" width="1.42578125" style="2"/>
    <col min="2593" max="2593" width="1.42578125" style="2" customWidth="1"/>
    <col min="2594" max="2598" width="1.42578125" style="2"/>
    <col min="2599" max="2600" width="1.42578125" style="2" customWidth="1"/>
    <col min="2601" max="2624" width="1.42578125" style="2"/>
    <col min="2625" max="2631" width="0" style="2" hidden="1" customWidth="1"/>
    <col min="2632" max="2643" width="1.42578125" style="2" customWidth="1"/>
    <col min="2644" max="2822" width="1.42578125" style="2"/>
    <col min="2823" max="2823" width="1.42578125" style="2" customWidth="1"/>
    <col min="2824" max="2828" width="1.42578125" style="2"/>
    <col min="2829" max="2829" width="1.42578125" style="2" customWidth="1"/>
    <col min="2830" max="2830" width="1.42578125" style="2"/>
    <col min="2831" max="2831" width="1.42578125" style="2" customWidth="1"/>
    <col min="2832" max="2834" width="1.42578125" style="2"/>
    <col min="2835" max="2835" width="1.42578125" style="2" customWidth="1"/>
    <col min="2836" max="2837" width="1.42578125" style="2"/>
    <col min="2838" max="2838" width="1.42578125" style="2" customWidth="1"/>
    <col min="2839" max="2842" width="1.42578125" style="2"/>
    <col min="2843" max="2843" width="1.42578125" style="2" customWidth="1"/>
    <col min="2844" max="2846" width="1.42578125" style="2"/>
    <col min="2847" max="2847" width="1.42578125" style="2" customWidth="1"/>
    <col min="2848" max="2848" width="1.42578125" style="2"/>
    <col min="2849" max="2849" width="1.42578125" style="2" customWidth="1"/>
    <col min="2850" max="2854" width="1.42578125" style="2"/>
    <col min="2855" max="2856" width="1.42578125" style="2" customWidth="1"/>
    <col min="2857" max="2880" width="1.42578125" style="2"/>
    <col min="2881" max="2887" width="0" style="2" hidden="1" customWidth="1"/>
    <col min="2888" max="2899" width="1.42578125" style="2" customWidth="1"/>
    <col min="2900" max="3078" width="1.42578125" style="2"/>
    <col min="3079" max="3079" width="1.42578125" style="2" customWidth="1"/>
    <col min="3080" max="3084" width="1.42578125" style="2"/>
    <col min="3085" max="3085" width="1.42578125" style="2" customWidth="1"/>
    <col min="3086" max="3086" width="1.42578125" style="2"/>
    <col min="3087" max="3087" width="1.42578125" style="2" customWidth="1"/>
    <col min="3088" max="3090" width="1.42578125" style="2"/>
    <col min="3091" max="3091" width="1.42578125" style="2" customWidth="1"/>
    <col min="3092" max="3093" width="1.42578125" style="2"/>
    <col min="3094" max="3094" width="1.42578125" style="2" customWidth="1"/>
    <col min="3095" max="3098" width="1.42578125" style="2"/>
    <col min="3099" max="3099" width="1.42578125" style="2" customWidth="1"/>
    <col min="3100" max="3102" width="1.42578125" style="2"/>
    <col min="3103" max="3103" width="1.42578125" style="2" customWidth="1"/>
    <col min="3104" max="3104" width="1.42578125" style="2"/>
    <col min="3105" max="3105" width="1.42578125" style="2" customWidth="1"/>
    <col min="3106" max="3110" width="1.42578125" style="2"/>
    <col min="3111" max="3112" width="1.42578125" style="2" customWidth="1"/>
    <col min="3113" max="3136" width="1.42578125" style="2"/>
    <col min="3137" max="3143" width="0" style="2" hidden="1" customWidth="1"/>
    <col min="3144" max="3155" width="1.42578125" style="2" customWidth="1"/>
    <col min="3156" max="3334" width="1.42578125" style="2"/>
    <col min="3335" max="3335" width="1.42578125" style="2" customWidth="1"/>
    <col min="3336" max="3340" width="1.42578125" style="2"/>
    <col min="3341" max="3341" width="1.42578125" style="2" customWidth="1"/>
    <col min="3342" max="3342" width="1.42578125" style="2"/>
    <col min="3343" max="3343" width="1.42578125" style="2" customWidth="1"/>
    <col min="3344" max="3346" width="1.42578125" style="2"/>
    <col min="3347" max="3347" width="1.42578125" style="2" customWidth="1"/>
    <col min="3348" max="3349" width="1.42578125" style="2"/>
    <col min="3350" max="3350" width="1.42578125" style="2" customWidth="1"/>
    <col min="3351" max="3354" width="1.42578125" style="2"/>
    <col min="3355" max="3355" width="1.42578125" style="2" customWidth="1"/>
    <col min="3356" max="3358" width="1.42578125" style="2"/>
    <col min="3359" max="3359" width="1.42578125" style="2" customWidth="1"/>
    <col min="3360" max="3360" width="1.42578125" style="2"/>
    <col min="3361" max="3361" width="1.42578125" style="2" customWidth="1"/>
    <col min="3362" max="3366" width="1.42578125" style="2"/>
    <col min="3367" max="3368" width="1.42578125" style="2" customWidth="1"/>
    <col min="3369" max="3392" width="1.42578125" style="2"/>
    <col min="3393" max="3399" width="0" style="2" hidden="1" customWidth="1"/>
    <col min="3400" max="3411" width="1.42578125" style="2" customWidth="1"/>
    <col min="3412" max="3590" width="1.42578125" style="2"/>
    <col min="3591" max="3591" width="1.42578125" style="2" customWidth="1"/>
    <col min="3592" max="3596" width="1.42578125" style="2"/>
    <col min="3597" max="3597" width="1.42578125" style="2" customWidth="1"/>
    <col min="3598" max="3598" width="1.42578125" style="2"/>
    <col min="3599" max="3599" width="1.42578125" style="2" customWidth="1"/>
    <col min="3600" max="3602" width="1.42578125" style="2"/>
    <col min="3603" max="3603" width="1.42578125" style="2" customWidth="1"/>
    <col min="3604" max="3605" width="1.42578125" style="2"/>
    <col min="3606" max="3606" width="1.42578125" style="2" customWidth="1"/>
    <col min="3607" max="3610" width="1.42578125" style="2"/>
    <col min="3611" max="3611" width="1.42578125" style="2" customWidth="1"/>
    <col min="3612" max="3614" width="1.42578125" style="2"/>
    <col min="3615" max="3615" width="1.42578125" style="2" customWidth="1"/>
    <col min="3616" max="3616" width="1.42578125" style="2"/>
    <col min="3617" max="3617" width="1.42578125" style="2" customWidth="1"/>
    <col min="3618" max="3622" width="1.42578125" style="2"/>
    <col min="3623" max="3624" width="1.42578125" style="2" customWidth="1"/>
    <col min="3625" max="3648" width="1.42578125" style="2"/>
    <col min="3649" max="3655" width="0" style="2" hidden="1" customWidth="1"/>
    <col min="3656" max="3667" width="1.42578125" style="2" customWidth="1"/>
    <col min="3668" max="3846" width="1.42578125" style="2"/>
    <col min="3847" max="3847" width="1.42578125" style="2" customWidth="1"/>
    <col min="3848" max="3852" width="1.42578125" style="2"/>
    <col min="3853" max="3853" width="1.42578125" style="2" customWidth="1"/>
    <col min="3854" max="3854" width="1.42578125" style="2"/>
    <col min="3855" max="3855" width="1.42578125" style="2" customWidth="1"/>
    <col min="3856" max="3858" width="1.42578125" style="2"/>
    <col min="3859" max="3859" width="1.42578125" style="2" customWidth="1"/>
    <col min="3860" max="3861" width="1.42578125" style="2"/>
    <col min="3862" max="3862" width="1.42578125" style="2" customWidth="1"/>
    <col min="3863" max="3866" width="1.42578125" style="2"/>
    <col min="3867" max="3867" width="1.42578125" style="2" customWidth="1"/>
    <col min="3868" max="3870" width="1.42578125" style="2"/>
    <col min="3871" max="3871" width="1.42578125" style="2" customWidth="1"/>
    <col min="3872" max="3872" width="1.42578125" style="2"/>
    <col min="3873" max="3873" width="1.42578125" style="2" customWidth="1"/>
    <col min="3874" max="3878" width="1.42578125" style="2"/>
    <col min="3879" max="3880" width="1.42578125" style="2" customWidth="1"/>
    <col min="3881" max="3904" width="1.42578125" style="2"/>
    <col min="3905" max="3911" width="0" style="2" hidden="1" customWidth="1"/>
    <col min="3912" max="3923" width="1.42578125" style="2" customWidth="1"/>
    <col min="3924" max="4102" width="1.42578125" style="2"/>
    <col min="4103" max="4103" width="1.42578125" style="2" customWidth="1"/>
    <col min="4104" max="4108" width="1.42578125" style="2"/>
    <col min="4109" max="4109" width="1.42578125" style="2" customWidth="1"/>
    <col min="4110" max="4110" width="1.42578125" style="2"/>
    <col min="4111" max="4111" width="1.42578125" style="2" customWidth="1"/>
    <col min="4112" max="4114" width="1.42578125" style="2"/>
    <col min="4115" max="4115" width="1.42578125" style="2" customWidth="1"/>
    <col min="4116" max="4117" width="1.42578125" style="2"/>
    <col min="4118" max="4118" width="1.42578125" style="2" customWidth="1"/>
    <col min="4119" max="4122" width="1.42578125" style="2"/>
    <col min="4123" max="4123" width="1.42578125" style="2" customWidth="1"/>
    <col min="4124" max="4126" width="1.42578125" style="2"/>
    <col min="4127" max="4127" width="1.42578125" style="2" customWidth="1"/>
    <col min="4128" max="4128" width="1.42578125" style="2"/>
    <col min="4129" max="4129" width="1.42578125" style="2" customWidth="1"/>
    <col min="4130" max="4134" width="1.42578125" style="2"/>
    <col min="4135" max="4136" width="1.42578125" style="2" customWidth="1"/>
    <col min="4137" max="4160" width="1.42578125" style="2"/>
    <col min="4161" max="4167" width="0" style="2" hidden="1" customWidth="1"/>
    <col min="4168" max="4179" width="1.42578125" style="2" customWidth="1"/>
    <col min="4180" max="4358" width="1.42578125" style="2"/>
    <col min="4359" max="4359" width="1.42578125" style="2" customWidth="1"/>
    <col min="4360" max="4364" width="1.42578125" style="2"/>
    <col min="4365" max="4365" width="1.42578125" style="2" customWidth="1"/>
    <col min="4366" max="4366" width="1.42578125" style="2"/>
    <col min="4367" max="4367" width="1.42578125" style="2" customWidth="1"/>
    <col min="4368" max="4370" width="1.42578125" style="2"/>
    <col min="4371" max="4371" width="1.42578125" style="2" customWidth="1"/>
    <col min="4372" max="4373" width="1.42578125" style="2"/>
    <col min="4374" max="4374" width="1.42578125" style="2" customWidth="1"/>
    <col min="4375" max="4378" width="1.42578125" style="2"/>
    <col min="4379" max="4379" width="1.42578125" style="2" customWidth="1"/>
    <col min="4380" max="4382" width="1.42578125" style="2"/>
    <col min="4383" max="4383" width="1.42578125" style="2" customWidth="1"/>
    <col min="4384" max="4384" width="1.42578125" style="2"/>
    <col min="4385" max="4385" width="1.42578125" style="2" customWidth="1"/>
    <col min="4386" max="4390" width="1.42578125" style="2"/>
    <col min="4391" max="4392" width="1.42578125" style="2" customWidth="1"/>
    <col min="4393" max="4416" width="1.42578125" style="2"/>
    <col min="4417" max="4423" width="0" style="2" hidden="1" customWidth="1"/>
    <col min="4424" max="4435" width="1.42578125" style="2" customWidth="1"/>
    <col min="4436" max="4614" width="1.42578125" style="2"/>
    <col min="4615" max="4615" width="1.42578125" style="2" customWidth="1"/>
    <col min="4616" max="4620" width="1.42578125" style="2"/>
    <col min="4621" max="4621" width="1.42578125" style="2" customWidth="1"/>
    <col min="4622" max="4622" width="1.42578125" style="2"/>
    <col min="4623" max="4623" width="1.42578125" style="2" customWidth="1"/>
    <col min="4624" max="4626" width="1.42578125" style="2"/>
    <col min="4627" max="4627" width="1.42578125" style="2" customWidth="1"/>
    <col min="4628" max="4629" width="1.42578125" style="2"/>
    <col min="4630" max="4630" width="1.42578125" style="2" customWidth="1"/>
    <col min="4631" max="4634" width="1.42578125" style="2"/>
    <col min="4635" max="4635" width="1.42578125" style="2" customWidth="1"/>
    <col min="4636" max="4638" width="1.42578125" style="2"/>
    <col min="4639" max="4639" width="1.42578125" style="2" customWidth="1"/>
    <col min="4640" max="4640" width="1.42578125" style="2"/>
    <col min="4641" max="4641" width="1.42578125" style="2" customWidth="1"/>
    <col min="4642" max="4646" width="1.42578125" style="2"/>
    <col min="4647" max="4648" width="1.42578125" style="2" customWidth="1"/>
    <col min="4649" max="4672" width="1.42578125" style="2"/>
    <col min="4673" max="4679" width="0" style="2" hidden="1" customWidth="1"/>
    <col min="4680" max="4691" width="1.42578125" style="2" customWidth="1"/>
    <col min="4692" max="4870" width="1.42578125" style="2"/>
    <col min="4871" max="4871" width="1.42578125" style="2" customWidth="1"/>
    <col min="4872" max="4876" width="1.42578125" style="2"/>
    <col min="4877" max="4877" width="1.42578125" style="2" customWidth="1"/>
    <col min="4878" max="4878" width="1.42578125" style="2"/>
    <col min="4879" max="4879" width="1.42578125" style="2" customWidth="1"/>
    <col min="4880" max="4882" width="1.42578125" style="2"/>
    <col min="4883" max="4883" width="1.42578125" style="2" customWidth="1"/>
    <col min="4884" max="4885" width="1.42578125" style="2"/>
    <col min="4886" max="4886" width="1.42578125" style="2" customWidth="1"/>
    <col min="4887" max="4890" width="1.42578125" style="2"/>
    <col min="4891" max="4891" width="1.42578125" style="2" customWidth="1"/>
    <col min="4892" max="4894" width="1.42578125" style="2"/>
    <col min="4895" max="4895" width="1.42578125" style="2" customWidth="1"/>
    <col min="4896" max="4896" width="1.42578125" style="2"/>
    <col min="4897" max="4897" width="1.42578125" style="2" customWidth="1"/>
    <col min="4898" max="4902" width="1.42578125" style="2"/>
    <col min="4903" max="4904" width="1.42578125" style="2" customWidth="1"/>
    <col min="4905" max="4928" width="1.42578125" style="2"/>
    <col min="4929" max="4935" width="0" style="2" hidden="1" customWidth="1"/>
    <col min="4936" max="4947" width="1.42578125" style="2" customWidth="1"/>
    <col min="4948" max="5126" width="1.42578125" style="2"/>
    <col min="5127" max="5127" width="1.42578125" style="2" customWidth="1"/>
    <col min="5128" max="5132" width="1.42578125" style="2"/>
    <col min="5133" max="5133" width="1.42578125" style="2" customWidth="1"/>
    <col min="5134" max="5134" width="1.42578125" style="2"/>
    <col min="5135" max="5135" width="1.42578125" style="2" customWidth="1"/>
    <col min="5136" max="5138" width="1.42578125" style="2"/>
    <col min="5139" max="5139" width="1.42578125" style="2" customWidth="1"/>
    <col min="5140" max="5141" width="1.42578125" style="2"/>
    <col min="5142" max="5142" width="1.42578125" style="2" customWidth="1"/>
    <col min="5143" max="5146" width="1.42578125" style="2"/>
    <col min="5147" max="5147" width="1.42578125" style="2" customWidth="1"/>
    <col min="5148" max="5150" width="1.42578125" style="2"/>
    <col min="5151" max="5151" width="1.42578125" style="2" customWidth="1"/>
    <col min="5152" max="5152" width="1.42578125" style="2"/>
    <col min="5153" max="5153" width="1.42578125" style="2" customWidth="1"/>
    <col min="5154" max="5158" width="1.42578125" style="2"/>
    <col min="5159" max="5160" width="1.42578125" style="2" customWidth="1"/>
    <col min="5161" max="5184" width="1.42578125" style="2"/>
    <col min="5185" max="5191" width="0" style="2" hidden="1" customWidth="1"/>
    <col min="5192" max="5203" width="1.42578125" style="2" customWidth="1"/>
    <col min="5204" max="5382" width="1.42578125" style="2"/>
    <col min="5383" max="5383" width="1.42578125" style="2" customWidth="1"/>
    <col min="5384" max="5388" width="1.42578125" style="2"/>
    <col min="5389" max="5389" width="1.42578125" style="2" customWidth="1"/>
    <col min="5390" max="5390" width="1.42578125" style="2"/>
    <col min="5391" max="5391" width="1.42578125" style="2" customWidth="1"/>
    <col min="5392" max="5394" width="1.42578125" style="2"/>
    <col min="5395" max="5395" width="1.42578125" style="2" customWidth="1"/>
    <col min="5396" max="5397" width="1.42578125" style="2"/>
    <col min="5398" max="5398" width="1.42578125" style="2" customWidth="1"/>
    <col min="5399" max="5402" width="1.42578125" style="2"/>
    <col min="5403" max="5403" width="1.42578125" style="2" customWidth="1"/>
    <col min="5404" max="5406" width="1.42578125" style="2"/>
    <col min="5407" max="5407" width="1.42578125" style="2" customWidth="1"/>
    <col min="5408" max="5408" width="1.42578125" style="2"/>
    <col min="5409" max="5409" width="1.42578125" style="2" customWidth="1"/>
    <col min="5410" max="5414" width="1.42578125" style="2"/>
    <col min="5415" max="5416" width="1.42578125" style="2" customWidth="1"/>
    <col min="5417" max="5440" width="1.42578125" style="2"/>
    <col min="5441" max="5447" width="0" style="2" hidden="1" customWidth="1"/>
    <col min="5448" max="5459" width="1.42578125" style="2" customWidth="1"/>
    <col min="5460" max="5638" width="1.42578125" style="2"/>
    <col min="5639" max="5639" width="1.42578125" style="2" customWidth="1"/>
    <col min="5640" max="5644" width="1.42578125" style="2"/>
    <col min="5645" max="5645" width="1.42578125" style="2" customWidth="1"/>
    <col min="5646" max="5646" width="1.42578125" style="2"/>
    <col min="5647" max="5647" width="1.42578125" style="2" customWidth="1"/>
    <col min="5648" max="5650" width="1.42578125" style="2"/>
    <col min="5651" max="5651" width="1.42578125" style="2" customWidth="1"/>
    <col min="5652" max="5653" width="1.42578125" style="2"/>
    <col min="5654" max="5654" width="1.42578125" style="2" customWidth="1"/>
    <col min="5655" max="5658" width="1.42578125" style="2"/>
    <col min="5659" max="5659" width="1.42578125" style="2" customWidth="1"/>
    <col min="5660" max="5662" width="1.42578125" style="2"/>
    <col min="5663" max="5663" width="1.42578125" style="2" customWidth="1"/>
    <col min="5664" max="5664" width="1.42578125" style="2"/>
    <col min="5665" max="5665" width="1.42578125" style="2" customWidth="1"/>
    <col min="5666" max="5670" width="1.42578125" style="2"/>
    <col min="5671" max="5672" width="1.42578125" style="2" customWidth="1"/>
    <col min="5673" max="5696" width="1.42578125" style="2"/>
    <col min="5697" max="5703" width="0" style="2" hidden="1" customWidth="1"/>
    <col min="5704" max="5715" width="1.42578125" style="2" customWidth="1"/>
    <col min="5716" max="5894" width="1.42578125" style="2"/>
    <col min="5895" max="5895" width="1.42578125" style="2" customWidth="1"/>
    <col min="5896" max="5900" width="1.42578125" style="2"/>
    <col min="5901" max="5901" width="1.42578125" style="2" customWidth="1"/>
    <col min="5902" max="5902" width="1.42578125" style="2"/>
    <col min="5903" max="5903" width="1.42578125" style="2" customWidth="1"/>
    <col min="5904" max="5906" width="1.42578125" style="2"/>
    <col min="5907" max="5907" width="1.42578125" style="2" customWidth="1"/>
    <col min="5908" max="5909" width="1.42578125" style="2"/>
    <col min="5910" max="5910" width="1.42578125" style="2" customWidth="1"/>
    <col min="5911" max="5914" width="1.42578125" style="2"/>
    <col min="5915" max="5915" width="1.42578125" style="2" customWidth="1"/>
    <col min="5916" max="5918" width="1.42578125" style="2"/>
    <col min="5919" max="5919" width="1.42578125" style="2" customWidth="1"/>
    <col min="5920" max="5920" width="1.42578125" style="2"/>
    <col min="5921" max="5921" width="1.42578125" style="2" customWidth="1"/>
    <col min="5922" max="5926" width="1.42578125" style="2"/>
    <col min="5927" max="5928" width="1.42578125" style="2" customWidth="1"/>
    <col min="5929" max="5952" width="1.42578125" style="2"/>
    <col min="5953" max="5959" width="0" style="2" hidden="1" customWidth="1"/>
    <col min="5960" max="5971" width="1.42578125" style="2" customWidth="1"/>
    <col min="5972" max="6150" width="1.42578125" style="2"/>
    <col min="6151" max="6151" width="1.42578125" style="2" customWidth="1"/>
    <col min="6152" max="6156" width="1.42578125" style="2"/>
    <col min="6157" max="6157" width="1.42578125" style="2" customWidth="1"/>
    <col min="6158" max="6158" width="1.42578125" style="2"/>
    <col min="6159" max="6159" width="1.42578125" style="2" customWidth="1"/>
    <col min="6160" max="6162" width="1.42578125" style="2"/>
    <col min="6163" max="6163" width="1.42578125" style="2" customWidth="1"/>
    <col min="6164" max="6165" width="1.42578125" style="2"/>
    <col min="6166" max="6166" width="1.42578125" style="2" customWidth="1"/>
    <col min="6167" max="6170" width="1.42578125" style="2"/>
    <col min="6171" max="6171" width="1.42578125" style="2" customWidth="1"/>
    <col min="6172" max="6174" width="1.42578125" style="2"/>
    <col min="6175" max="6175" width="1.42578125" style="2" customWidth="1"/>
    <col min="6176" max="6176" width="1.42578125" style="2"/>
    <col min="6177" max="6177" width="1.42578125" style="2" customWidth="1"/>
    <col min="6178" max="6182" width="1.42578125" style="2"/>
    <col min="6183" max="6184" width="1.42578125" style="2" customWidth="1"/>
    <col min="6185" max="6208" width="1.42578125" style="2"/>
    <col min="6209" max="6215" width="0" style="2" hidden="1" customWidth="1"/>
    <col min="6216" max="6227" width="1.42578125" style="2" customWidth="1"/>
    <col min="6228" max="6406" width="1.42578125" style="2"/>
    <col min="6407" max="6407" width="1.42578125" style="2" customWidth="1"/>
    <col min="6408" max="6412" width="1.42578125" style="2"/>
    <col min="6413" max="6413" width="1.42578125" style="2" customWidth="1"/>
    <col min="6414" max="6414" width="1.42578125" style="2"/>
    <col min="6415" max="6415" width="1.42578125" style="2" customWidth="1"/>
    <col min="6416" max="6418" width="1.42578125" style="2"/>
    <col min="6419" max="6419" width="1.42578125" style="2" customWidth="1"/>
    <col min="6420" max="6421" width="1.42578125" style="2"/>
    <col min="6422" max="6422" width="1.42578125" style="2" customWidth="1"/>
    <col min="6423" max="6426" width="1.42578125" style="2"/>
    <col min="6427" max="6427" width="1.42578125" style="2" customWidth="1"/>
    <col min="6428" max="6430" width="1.42578125" style="2"/>
    <col min="6431" max="6431" width="1.42578125" style="2" customWidth="1"/>
    <col min="6432" max="6432" width="1.42578125" style="2"/>
    <col min="6433" max="6433" width="1.42578125" style="2" customWidth="1"/>
    <col min="6434" max="6438" width="1.42578125" style="2"/>
    <col min="6439" max="6440" width="1.42578125" style="2" customWidth="1"/>
    <col min="6441" max="6464" width="1.42578125" style="2"/>
    <col min="6465" max="6471" width="0" style="2" hidden="1" customWidth="1"/>
    <col min="6472" max="6483" width="1.42578125" style="2" customWidth="1"/>
    <col min="6484" max="6662" width="1.42578125" style="2"/>
    <col min="6663" max="6663" width="1.42578125" style="2" customWidth="1"/>
    <col min="6664" max="6668" width="1.42578125" style="2"/>
    <col min="6669" max="6669" width="1.42578125" style="2" customWidth="1"/>
    <col min="6670" max="6670" width="1.42578125" style="2"/>
    <col min="6671" max="6671" width="1.42578125" style="2" customWidth="1"/>
    <col min="6672" max="6674" width="1.42578125" style="2"/>
    <col min="6675" max="6675" width="1.42578125" style="2" customWidth="1"/>
    <col min="6676" max="6677" width="1.42578125" style="2"/>
    <col min="6678" max="6678" width="1.42578125" style="2" customWidth="1"/>
    <col min="6679" max="6682" width="1.42578125" style="2"/>
    <col min="6683" max="6683" width="1.42578125" style="2" customWidth="1"/>
    <col min="6684" max="6686" width="1.42578125" style="2"/>
    <col min="6687" max="6687" width="1.42578125" style="2" customWidth="1"/>
    <col min="6688" max="6688" width="1.42578125" style="2"/>
    <col min="6689" max="6689" width="1.42578125" style="2" customWidth="1"/>
    <col min="6690" max="6694" width="1.42578125" style="2"/>
    <col min="6695" max="6696" width="1.42578125" style="2" customWidth="1"/>
    <col min="6697" max="6720" width="1.42578125" style="2"/>
    <col min="6721" max="6727" width="0" style="2" hidden="1" customWidth="1"/>
    <col min="6728" max="6739" width="1.42578125" style="2" customWidth="1"/>
    <col min="6740" max="6918" width="1.42578125" style="2"/>
    <col min="6919" max="6919" width="1.42578125" style="2" customWidth="1"/>
    <col min="6920" max="6924" width="1.42578125" style="2"/>
    <col min="6925" max="6925" width="1.42578125" style="2" customWidth="1"/>
    <col min="6926" max="6926" width="1.42578125" style="2"/>
    <col min="6927" max="6927" width="1.42578125" style="2" customWidth="1"/>
    <col min="6928" max="6930" width="1.42578125" style="2"/>
    <col min="6931" max="6931" width="1.42578125" style="2" customWidth="1"/>
    <col min="6932" max="6933" width="1.42578125" style="2"/>
    <col min="6934" max="6934" width="1.42578125" style="2" customWidth="1"/>
    <col min="6935" max="6938" width="1.42578125" style="2"/>
    <col min="6939" max="6939" width="1.42578125" style="2" customWidth="1"/>
    <col min="6940" max="6942" width="1.42578125" style="2"/>
    <col min="6943" max="6943" width="1.42578125" style="2" customWidth="1"/>
    <col min="6944" max="6944" width="1.42578125" style="2"/>
    <col min="6945" max="6945" width="1.42578125" style="2" customWidth="1"/>
    <col min="6946" max="6950" width="1.42578125" style="2"/>
    <col min="6951" max="6952" width="1.42578125" style="2" customWidth="1"/>
    <col min="6953" max="6976" width="1.42578125" style="2"/>
    <col min="6977" max="6983" width="0" style="2" hidden="1" customWidth="1"/>
    <col min="6984" max="6995" width="1.42578125" style="2" customWidth="1"/>
    <col min="6996" max="7174" width="1.42578125" style="2"/>
    <col min="7175" max="7175" width="1.42578125" style="2" customWidth="1"/>
    <col min="7176" max="7180" width="1.42578125" style="2"/>
    <col min="7181" max="7181" width="1.42578125" style="2" customWidth="1"/>
    <col min="7182" max="7182" width="1.42578125" style="2"/>
    <col min="7183" max="7183" width="1.42578125" style="2" customWidth="1"/>
    <col min="7184" max="7186" width="1.42578125" style="2"/>
    <col min="7187" max="7187" width="1.42578125" style="2" customWidth="1"/>
    <col min="7188" max="7189" width="1.42578125" style="2"/>
    <col min="7190" max="7190" width="1.42578125" style="2" customWidth="1"/>
    <col min="7191" max="7194" width="1.42578125" style="2"/>
    <col min="7195" max="7195" width="1.42578125" style="2" customWidth="1"/>
    <col min="7196" max="7198" width="1.42578125" style="2"/>
    <col min="7199" max="7199" width="1.42578125" style="2" customWidth="1"/>
    <col min="7200" max="7200" width="1.42578125" style="2"/>
    <col min="7201" max="7201" width="1.42578125" style="2" customWidth="1"/>
    <col min="7202" max="7206" width="1.42578125" style="2"/>
    <col min="7207" max="7208" width="1.42578125" style="2" customWidth="1"/>
    <col min="7209" max="7232" width="1.42578125" style="2"/>
    <col min="7233" max="7239" width="0" style="2" hidden="1" customWidth="1"/>
    <col min="7240" max="7251" width="1.42578125" style="2" customWidth="1"/>
    <col min="7252" max="7430" width="1.42578125" style="2"/>
    <col min="7431" max="7431" width="1.42578125" style="2" customWidth="1"/>
    <col min="7432" max="7436" width="1.42578125" style="2"/>
    <col min="7437" max="7437" width="1.42578125" style="2" customWidth="1"/>
    <col min="7438" max="7438" width="1.42578125" style="2"/>
    <col min="7439" max="7439" width="1.42578125" style="2" customWidth="1"/>
    <col min="7440" max="7442" width="1.42578125" style="2"/>
    <col min="7443" max="7443" width="1.42578125" style="2" customWidth="1"/>
    <col min="7444" max="7445" width="1.42578125" style="2"/>
    <col min="7446" max="7446" width="1.42578125" style="2" customWidth="1"/>
    <col min="7447" max="7450" width="1.42578125" style="2"/>
    <col min="7451" max="7451" width="1.42578125" style="2" customWidth="1"/>
    <col min="7452" max="7454" width="1.42578125" style="2"/>
    <col min="7455" max="7455" width="1.42578125" style="2" customWidth="1"/>
    <col min="7456" max="7456" width="1.42578125" style="2"/>
    <col min="7457" max="7457" width="1.42578125" style="2" customWidth="1"/>
    <col min="7458" max="7462" width="1.42578125" style="2"/>
    <col min="7463" max="7464" width="1.42578125" style="2" customWidth="1"/>
    <col min="7465" max="7488" width="1.42578125" style="2"/>
    <col min="7489" max="7495" width="0" style="2" hidden="1" customWidth="1"/>
    <col min="7496" max="7507" width="1.42578125" style="2" customWidth="1"/>
    <col min="7508" max="7686" width="1.42578125" style="2"/>
    <col min="7687" max="7687" width="1.42578125" style="2" customWidth="1"/>
    <col min="7688" max="7692" width="1.42578125" style="2"/>
    <col min="7693" max="7693" width="1.42578125" style="2" customWidth="1"/>
    <col min="7694" max="7694" width="1.42578125" style="2"/>
    <col min="7695" max="7695" width="1.42578125" style="2" customWidth="1"/>
    <col min="7696" max="7698" width="1.42578125" style="2"/>
    <col min="7699" max="7699" width="1.42578125" style="2" customWidth="1"/>
    <col min="7700" max="7701" width="1.42578125" style="2"/>
    <col min="7702" max="7702" width="1.42578125" style="2" customWidth="1"/>
    <col min="7703" max="7706" width="1.42578125" style="2"/>
    <col min="7707" max="7707" width="1.42578125" style="2" customWidth="1"/>
    <col min="7708" max="7710" width="1.42578125" style="2"/>
    <col min="7711" max="7711" width="1.42578125" style="2" customWidth="1"/>
    <col min="7712" max="7712" width="1.42578125" style="2"/>
    <col min="7713" max="7713" width="1.42578125" style="2" customWidth="1"/>
    <col min="7714" max="7718" width="1.42578125" style="2"/>
    <col min="7719" max="7720" width="1.42578125" style="2" customWidth="1"/>
    <col min="7721" max="7744" width="1.42578125" style="2"/>
    <col min="7745" max="7751" width="0" style="2" hidden="1" customWidth="1"/>
    <col min="7752" max="7763" width="1.42578125" style="2" customWidth="1"/>
    <col min="7764" max="7942" width="1.42578125" style="2"/>
    <col min="7943" max="7943" width="1.42578125" style="2" customWidth="1"/>
    <col min="7944" max="7948" width="1.42578125" style="2"/>
    <col min="7949" max="7949" width="1.42578125" style="2" customWidth="1"/>
    <col min="7950" max="7950" width="1.42578125" style="2"/>
    <col min="7951" max="7951" width="1.42578125" style="2" customWidth="1"/>
    <col min="7952" max="7954" width="1.42578125" style="2"/>
    <col min="7955" max="7955" width="1.42578125" style="2" customWidth="1"/>
    <col min="7956" max="7957" width="1.42578125" style="2"/>
    <col min="7958" max="7958" width="1.42578125" style="2" customWidth="1"/>
    <col min="7959" max="7962" width="1.42578125" style="2"/>
    <col min="7963" max="7963" width="1.42578125" style="2" customWidth="1"/>
    <col min="7964" max="7966" width="1.42578125" style="2"/>
    <col min="7967" max="7967" width="1.42578125" style="2" customWidth="1"/>
    <col min="7968" max="7968" width="1.42578125" style="2"/>
    <col min="7969" max="7969" width="1.42578125" style="2" customWidth="1"/>
    <col min="7970" max="7974" width="1.42578125" style="2"/>
    <col min="7975" max="7976" width="1.42578125" style="2" customWidth="1"/>
    <col min="7977" max="8000" width="1.42578125" style="2"/>
    <col min="8001" max="8007" width="0" style="2" hidden="1" customWidth="1"/>
    <col min="8008" max="8019" width="1.42578125" style="2" customWidth="1"/>
    <col min="8020" max="8198" width="1.42578125" style="2"/>
    <col min="8199" max="8199" width="1.42578125" style="2" customWidth="1"/>
    <col min="8200" max="8204" width="1.42578125" style="2"/>
    <col min="8205" max="8205" width="1.42578125" style="2" customWidth="1"/>
    <col min="8206" max="8206" width="1.42578125" style="2"/>
    <col min="8207" max="8207" width="1.42578125" style="2" customWidth="1"/>
    <col min="8208" max="8210" width="1.42578125" style="2"/>
    <col min="8211" max="8211" width="1.42578125" style="2" customWidth="1"/>
    <col min="8212" max="8213" width="1.42578125" style="2"/>
    <col min="8214" max="8214" width="1.42578125" style="2" customWidth="1"/>
    <col min="8215" max="8218" width="1.42578125" style="2"/>
    <col min="8219" max="8219" width="1.42578125" style="2" customWidth="1"/>
    <col min="8220" max="8222" width="1.42578125" style="2"/>
    <col min="8223" max="8223" width="1.42578125" style="2" customWidth="1"/>
    <col min="8224" max="8224" width="1.42578125" style="2"/>
    <col min="8225" max="8225" width="1.42578125" style="2" customWidth="1"/>
    <col min="8226" max="8230" width="1.42578125" style="2"/>
    <col min="8231" max="8232" width="1.42578125" style="2" customWidth="1"/>
    <col min="8233" max="8256" width="1.42578125" style="2"/>
    <col min="8257" max="8263" width="0" style="2" hidden="1" customWidth="1"/>
    <col min="8264" max="8275" width="1.42578125" style="2" customWidth="1"/>
    <col min="8276" max="8454" width="1.42578125" style="2"/>
    <col min="8455" max="8455" width="1.42578125" style="2" customWidth="1"/>
    <col min="8456" max="8460" width="1.42578125" style="2"/>
    <col min="8461" max="8461" width="1.42578125" style="2" customWidth="1"/>
    <col min="8462" max="8462" width="1.42578125" style="2"/>
    <col min="8463" max="8463" width="1.42578125" style="2" customWidth="1"/>
    <col min="8464" max="8466" width="1.42578125" style="2"/>
    <col min="8467" max="8467" width="1.42578125" style="2" customWidth="1"/>
    <col min="8468" max="8469" width="1.42578125" style="2"/>
    <col min="8470" max="8470" width="1.42578125" style="2" customWidth="1"/>
    <col min="8471" max="8474" width="1.42578125" style="2"/>
    <col min="8475" max="8475" width="1.42578125" style="2" customWidth="1"/>
    <col min="8476" max="8478" width="1.42578125" style="2"/>
    <col min="8479" max="8479" width="1.42578125" style="2" customWidth="1"/>
    <col min="8480" max="8480" width="1.42578125" style="2"/>
    <col min="8481" max="8481" width="1.42578125" style="2" customWidth="1"/>
    <col min="8482" max="8486" width="1.42578125" style="2"/>
    <col min="8487" max="8488" width="1.42578125" style="2" customWidth="1"/>
    <col min="8489" max="8512" width="1.42578125" style="2"/>
    <col min="8513" max="8519" width="0" style="2" hidden="1" customWidth="1"/>
    <col min="8520" max="8531" width="1.42578125" style="2" customWidth="1"/>
    <col min="8532" max="8710" width="1.42578125" style="2"/>
    <col min="8711" max="8711" width="1.42578125" style="2" customWidth="1"/>
    <col min="8712" max="8716" width="1.42578125" style="2"/>
    <col min="8717" max="8717" width="1.42578125" style="2" customWidth="1"/>
    <col min="8718" max="8718" width="1.42578125" style="2"/>
    <col min="8719" max="8719" width="1.42578125" style="2" customWidth="1"/>
    <col min="8720" max="8722" width="1.42578125" style="2"/>
    <col min="8723" max="8723" width="1.42578125" style="2" customWidth="1"/>
    <col min="8724" max="8725" width="1.42578125" style="2"/>
    <col min="8726" max="8726" width="1.42578125" style="2" customWidth="1"/>
    <col min="8727" max="8730" width="1.42578125" style="2"/>
    <col min="8731" max="8731" width="1.42578125" style="2" customWidth="1"/>
    <col min="8732" max="8734" width="1.42578125" style="2"/>
    <col min="8735" max="8735" width="1.42578125" style="2" customWidth="1"/>
    <col min="8736" max="8736" width="1.42578125" style="2"/>
    <col min="8737" max="8737" width="1.42578125" style="2" customWidth="1"/>
    <col min="8738" max="8742" width="1.42578125" style="2"/>
    <col min="8743" max="8744" width="1.42578125" style="2" customWidth="1"/>
    <col min="8745" max="8768" width="1.42578125" style="2"/>
    <col min="8769" max="8775" width="0" style="2" hidden="1" customWidth="1"/>
    <col min="8776" max="8787" width="1.42578125" style="2" customWidth="1"/>
    <col min="8788" max="8966" width="1.42578125" style="2"/>
    <col min="8967" max="8967" width="1.42578125" style="2" customWidth="1"/>
    <col min="8968" max="8972" width="1.42578125" style="2"/>
    <col min="8973" max="8973" width="1.42578125" style="2" customWidth="1"/>
    <col min="8974" max="8974" width="1.42578125" style="2"/>
    <col min="8975" max="8975" width="1.42578125" style="2" customWidth="1"/>
    <col min="8976" max="8978" width="1.42578125" style="2"/>
    <col min="8979" max="8979" width="1.42578125" style="2" customWidth="1"/>
    <col min="8980" max="8981" width="1.42578125" style="2"/>
    <col min="8982" max="8982" width="1.42578125" style="2" customWidth="1"/>
    <col min="8983" max="8986" width="1.42578125" style="2"/>
    <col min="8987" max="8987" width="1.42578125" style="2" customWidth="1"/>
    <col min="8988" max="8990" width="1.42578125" style="2"/>
    <col min="8991" max="8991" width="1.42578125" style="2" customWidth="1"/>
    <col min="8992" max="8992" width="1.42578125" style="2"/>
    <col min="8993" max="8993" width="1.42578125" style="2" customWidth="1"/>
    <col min="8994" max="8998" width="1.42578125" style="2"/>
    <col min="8999" max="9000" width="1.42578125" style="2" customWidth="1"/>
    <col min="9001" max="9024" width="1.42578125" style="2"/>
    <col min="9025" max="9031" width="0" style="2" hidden="1" customWidth="1"/>
    <col min="9032" max="9043" width="1.42578125" style="2" customWidth="1"/>
    <col min="9044" max="9222" width="1.42578125" style="2"/>
    <col min="9223" max="9223" width="1.42578125" style="2" customWidth="1"/>
    <col min="9224" max="9228" width="1.42578125" style="2"/>
    <col min="9229" max="9229" width="1.42578125" style="2" customWidth="1"/>
    <col min="9230" max="9230" width="1.42578125" style="2"/>
    <col min="9231" max="9231" width="1.42578125" style="2" customWidth="1"/>
    <col min="9232" max="9234" width="1.42578125" style="2"/>
    <col min="9235" max="9235" width="1.42578125" style="2" customWidth="1"/>
    <col min="9236" max="9237" width="1.42578125" style="2"/>
    <col min="9238" max="9238" width="1.42578125" style="2" customWidth="1"/>
    <col min="9239" max="9242" width="1.42578125" style="2"/>
    <col min="9243" max="9243" width="1.42578125" style="2" customWidth="1"/>
    <col min="9244" max="9246" width="1.42578125" style="2"/>
    <col min="9247" max="9247" width="1.42578125" style="2" customWidth="1"/>
    <col min="9248" max="9248" width="1.42578125" style="2"/>
    <col min="9249" max="9249" width="1.42578125" style="2" customWidth="1"/>
    <col min="9250" max="9254" width="1.42578125" style="2"/>
    <col min="9255" max="9256" width="1.42578125" style="2" customWidth="1"/>
    <col min="9257" max="9280" width="1.42578125" style="2"/>
    <col min="9281" max="9287" width="0" style="2" hidden="1" customWidth="1"/>
    <col min="9288" max="9299" width="1.42578125" style="2" customWidth="1"/>
    <col min="9300" max="9478" width="1.42578125" style="2"/>
    <col min="9479" max="9479" width="1.42578125" style="2" customWidth="1"/>
    <col min="9480" max="9484" width="1.42578125" style="2"/>
    <col min="9485" max="9485" width="1.42578125" style="2" customWidth="1"/>
    <col min="9486" max="9486" width="1.42578125" style="2"/>
    <col min="9487" max="9487" width="1.42578125" style="2" customWidth="1"/>
    <col min="9488" max="9490" width="1.42578125" style="2"/>
    <col min="9491" max="9491" width="1.42578125" style="2" customWidth="1"/>
    <col min="9492" max="9493" width="1.42578125" style="2"/>
    <col min="9494" max="9494" width="1.42578125" style="2" customWidth="1"/>
    <col min="9495" max="9498" width="1.42578125" style="2"/>
    <col min="9499" max="9499" width="1.42578125" style="2" customWidth="1"/>
    <col min="9500" max="9502" width="1.42578125" style="2"/>
    <col min="9503" max="9503" width="1.42578125" style="2" customWidth="1"/>
    <col min="9504" max="9504" width="1.42578125" style="2"/>
    <col min="9505" max="9505" width="1.42578125" style="2" customWidth="1"/>
    <col min="9506" max="9510" width="1.42578125" style="2"/>
    <col min="9511" max="9512" width="1.42578125" style="2" customWidth="1"/>
    <col min="9513" max="9536" width="1.42578125" style="2"/>
    <col min="9537" max="9543" width="0" style="2" hidden="1" customWidth="1"/>
    <col min="9544" max="9555" width="1.42578125" style="2" customWidth="1"/>
    <col min="9556" max="9734" width="1.42578125" style="2"/>
    <col min="9735" max="9735" width="1.42578125" style="2" customWidth="1"/>
    <col min="9736" max="9740" width="1.42578125" style="2"/>
    <col min="9741" max="9741" width="1.42578125" style="2" customWidth="1"/>
    <col min="9742" max="9742" width="1.42578125" style="2"/>
    <col min="9743" max="9743" width="1.42578125" style="2" customWidth="1"/>
    <col min="9744" max="9746" width="1.42578125" style="2"/>
    <col min="9747" max="9747" width="1.42578125" style="2" customWidth="1"/>
    <col min="9748" max="9749" width="1.42578125" style="2"/>
    <col min="9750" max="9750" width="1.42578125" style="2" customWidth="1"/>
    <col min="9751" max="9754" width="1.42578125" style="2"/>
    <col min="9755" max="9755" width="1.42578125" style="2" customWidth="1"/>
    <col min="9756" max="9758" width="1.42578125" style="2"/>
    <col min="9759" max="9759" width="1.42578125" style="2" customWidth="1"/>
    <col min="9760" max="9760" width="1.42578125" style="2"/>
    <col min="9761" max="9761" width="1.42578125" style="2" customWidth="1"/>
    <col min="9762" max="9766" width="1.42578125" style="2"/>
    <col min="9767" max="9768" width="1.42578125" style="2" customWidth="1"/>
    <col min="9769" max="9792" width="1.42578125" style="2"/>
    <col min="9793" max="9799" width="0" style="2" hidden="1" customWidth="1"/>
    <col min="9800" max="9811" width="1.42578125" style="2" customWidth="1"/>
    <col min="9812" max="9990" width="1.42578125" style="2"/>
    <col min="9991" max="9991" width="1.42578125" style="2" customWidth="1"/>
    <col min="9992" max="9996" width="1.42578125" style="2"/>
    <col min="9997" max="9997" width="1.42578125" style="2" customWidth="1"/>
    <col min="9998" max="9998" width="1.42578125" style="2"/>
    <col min="9999" max="9999" width="1.42578125" style="2" customWidth="1"/>
    <col min="10000" max="10002" width="1.42578125" style="2"/>
    <col min="10003" max="10003" width="1.42578125" style="2" customWidth="1"/>
    <col min="10004" max="10005" width="1.42578125" style="2"/>
    <col min="10006" max="10006" width="1.42578125" style="2" customWidth="1"/>
    <col min="10007" max="10010" width="1.42578125" style="2"/>
    <col min="10011" max="10011" width="1.42578125" style="2" customWidth="1"/>
    <col min="10012" max="10014" width="1.42578125" style="2"/>
    <col min="10015" max="10015" width="1.42578125" style="2" customWidth="1"/>
    <col min="10016" max="10016" width="1.42578125" style="2"/>
    <col min="10017" max="10017" width="1.42578125" style="2" customWidth="1"/>
    <col min="10018" max="10022" width="1.42578125" style="2"/>
    <col min="10023" max="10024" width="1.42578125" style="2" customWidth="1"/>
    <col min="10025" max="10048" width="1.42578125" style="2"/>
    <col min="10049" max="10055" width="0" style="2" hidden="1" customWidth="1"/>
    <col min="10056" max="10067" width="1.42578125" style="2" customWidth="1"/>
    <col min="10068" max="10246" width="1.42578125" style="2"/>
    <col min="10247" max="10247" width="1.42578125" style="2" customWidth="1"/>
    <col min="10248" max="10252" width="1.42578125" style="2"/>
    <col min="10253" max="10253" width="1.42578125" style="2" customWidth="1"/>
    <col min="10254" max="10254" width="1.42578125" style="2"/>
    <col min="10255" max="10255" width="1.42578125" style="2" customWidth="1"/>
    <col min="10256" max="10258" width="1.42578125" style="2"/>
    <col min="10259" max="10259" width="1.42578125" style="2" customWidth="1"/>
    <col min="10260" max="10261" width="1.42578125" style="2"/>
    <col min="10262" max="10262" width="1.42578125" style="2" customWidth="1"/>
    <col min="10263" max="10266" width="1.42578125" style="2"/>
    <col min="10267" max="10267" width="1.42578125" style="2" customWidth="1"/>
    <col min="10268" max="10270" width="1.42578125" style="2"/>
    <col min="10271" max="10271" width="1.42578125" style="2" customWidth="1"/>
    <col min="10272" max="10272" width="1.42578125" style="2"/>
    <col min="10273" max="10273" width="1.42578125" style="2" customWidth="1"/>
    <col min="10274" max="10278" width="1.42578125" style="2"/>
    <col min="10279" max="10280" width="1.42578125" style="2" customWidth="1"/>
    <col min="10281" max="10304" width="1.42578125" style="2"/>
    <col min="10305" max="10311" width="0" style="2" hidden="1" customWidth="1"/>
    <col min="10312" max="10323" width="1.42578125" style="2" customWidth="1"/>
    <col min="10324" max="10502" width="1.42578125" style="2"/>
    <col min="10503" max="10503" width="1.42578125" style="2" customWidth="1"/>
    <col min="10504" max="10508" width="1.42578125" style="2"/>
    <col min="10509" max="10509" width="1.42578125" style="2" customWidth="1"/>
    <col min="10510" max="10510" width="1.42578125" style="2"/>
    <col min="10511" max="10511" width="1.42578125" style="2" customWidth="1"/>
    <col min="10512" max="10514" width="1.42578125" style="2"/>
    <col min="10515" max="10515" width="1.42578125" style="2" customWidth="1"/>
    <col min="10516" max="10517" width="1.42578125" style="2"/>
    <col min="10518" max="10518" width="1.42578125" style="2" customWidth="1"/>
    <col min="10519" max="10522" width="1.42578125" style="2"/>
    <col min="10523" max="10523" width="1.42578125" style="2" customWidth="1"/>
    <col min="10524" max="10526" width="1.42578125" style="2"/>
    <col min="10527" max="10527" width="1.42578125" style="2" customWidth="1"/>
    <col min="10528" max="10528" width="1.42578125" style="2"/>
    <col min="10529" max="10529" width="1.42578125" style="2" customWidth="1"/>
    <col min="10530" max="10534" width="1.42578125" style="2"/>
    <col min="10535" max="10536" width="1.42578125" style="2" customWidth="1"/>
    <col min="10537" max="10560" width="1.42578125" style="2"/>
    <col min="10561" max="10567" width="0" style="2" hidden="1" customWidth="1"/>
    <col min="10568" max="10579" width="1.42578125" style="2" customWidth="1"/>
    <col min="10580" max="10758" width="1.42578125" style="2"/>
    <col min="10759" max="10759" width="1.42578125" style="2" customWidth="1"/>
    <col min="10760" max="10764" width="1.42578125" style="2"/>
    <col min="10765" max="10765" width="1.42578125" style="2" customWidth="1"/>
    <col min="10766" max="10766" width="1.42578125" style="2"/>
    <col min="10767" max="10767" width="1.42578125" style="2" customWidth="1"/>
    <col min="10768" max="10770" width="1.42578125" style="2"/>
    <col min="10771" max="10771" width="1.42578125" style="2" customWidth="1"/>
    <col min="10772" max="10773" width="1.42578125" style="2"/>
    <col min="10774" max="10774" width="1.42578125" style="2" customWidth="1"/>
    <col min="10775" max="10778" width="1.42578125" style="2"/>
    <col min="10779" max="10779" width="1.42578125" style="2" customWidth="1"/>
    <col min="10780" max="10782" width="1.42578125" style="2"/>
    <col min="10783" max="10783" width="1.42578125" style="2" customWidth="1"/>
    <col min="10784" max="10784" width="1.42578125" style="2"/>
    <col min="10785" max="10785" width="1.42578125" style="2" customWidth="1"/>
    <col min="10786" max="10790" width="1.42578125" style="2"/>
    <col min="10791" max="10792" width="1.42578125" style="2" customWidth="1"/>
    <col min="10793" max="10816" width="1.42578125" style="2"/>
    <col min="10817" max="10823" width="0" style="2" hidden="1" customWidth="1"/>
    <col min="10824" max="10835" width="1.42578125" style="2" customWidth="1"/>
    <col min="10836" max="11014" width="1.42578125" style="2"/>
    <col min="11015" max="11015" width="1.42578125" style="2" customWidth="1"/>
    <col min="11016" max="11020" width="1.42578125" style="2"/>
    <col min="11021" max="11021" width="1.42578125" style="2" customWidth="1"/>
    <col min="11022" max="11022" width="1.42578125" style="2"/>
    <col min="11023" max="11023" width="1.42578125" style="2" customWidth="1"/>
    <col min="11024" max="11026" width="1.42578125" style="2"/>
    <col min="11027" max="11027" width="1.42578125" style="2" customWidth="1"/>
    <col min="11028" max="11029" width="1.42578125" style="2"/>
    <col min="11030" max="11030" width="1.42578125" style="2" customWidth="1"/>
    <col min="11031" max="11034" width="1.42578125" style="2"/>
    <col min="11035" max="11035" width="1.42578125" style="2" customWidth="1"/>
    <col min="11036" max="11038" width="1.42578125" style="2"/>
    <col min="11039" max="11039" width="1.42578125" style="2" customWidth="1"/>
    <col min="11040" max="11040" width="1.42578125" style="2"/>
    <col min="11041" max="11041" width="1.42578125" style="2" customWidth="1"/>
    <col min="11042" max="11046" width="1.42578125" style="2"/>
    <col min="11047" max="11048" width="1.42578125" style="2" customWidth="1"/>
    <col min="11049" max="11072" width="1.42578125" style="2"/>
    <col min="11073" max="11079" width="0" style="2" hidden="1" customWidth="1"/>
    <col min="11080" max="11091" width="1.42578125" style="2" customWidth="1"/>
    <col min="11092" max="11270" width="1.42578125" style="2"/>
    <col min="11271" max="11271" width="1.42578125" style="2" customWidth="1"/>
    <col min="11272" max="11276" width="1.42578125" style="2"/>
    <col min="11277" max="11277" width="1.42578125" style="2" customWidth="1"/>
    <col min="11278" max="11278" width="1.42578125" style="2"/>
    <col min="11279" max="11279" width="1.42578125" style="2" customWidth="1"/>
    <col min="11280" max="11282" width="1.42578125" style="2"/>
    <col min="11283" max="11283" width="1.42578125" style="2" customWidth="1"/>
    <col min="11284" max="11285" width="1.42578125" style="2"/>
    <col min="11286" max="11286" width="1.42578125" style="2" customWidth="1"/>
    <col min="11287" max="11290" width="1.42578125" style="2"/>
    <col min="11291" max="11291" width="1.42578125" style="2" customWidth="1"/>
    <col min="11292" max="11294" width="1.42578125" style="2"/>
    <col min="11295" max="11295" width="1.42578125" style="2" customWidth="1"/>
    <col min="11296" max="11296" width="1.42578125" style="2"/>
    <col min="11297" max="11297" width="1.42578125" style="2" customWidth="1"/>
    <col min="11298" max="11302" width="1.42578125" style="2"/>
    <col min="11303" max="11304" width="1.42578125" style="2" customWidth="1"/>
    <col min="11305" max="11328" width="1.42578125" style="2"/>
    <col min="11329" max="11335" width="0" style="2" hidden="1" customWidth="1"/>
    <col min="11336" max="11347" width="1.42578125" style="2" customWidth="1"/>
    <col min="11348" max="11526" width="1.42578125" style="2"/>
    <col min="11527" max="11527" width="1.42578125" style="2" customWidth="1"/>
    <col min="11528" max="11532" width="1.42578125" style="2"/>
    <col min="11533" max="11533" width="1.42578125" style="2" customWidth="1"/>
    <col min="11534" max="11534" width="1.42578125" style="2"/>
    <col min="11535" max="11535" width="1.42578125" style="2" customWidth="1"/>
    <col min="11536" max="11538" width="1.42578125" style="2"/>
    <col min="11539" max="11539" width="1.42578125" style="2" customWidth="1"/>
    <col min="11540" max="11541" width="1.42578125" style="2"/>
    <col min="11542" max="11542" width="1.42578125" style="2" customWidth="1"/>
    <col min="11543" max="11546" width="1.42578125" style="2"/>
    <col min="11547" max="11547" width="1.42578125" style="2" customWidth="1"/>
    <col min="11548" max="11550" width="1.42578125" style="2"/>
    <col min="11551" max="11551" width="1.42578125" style="2" customWidth="1"/>
    <col min="11552" max="11552" width="1.42578125" style="2"/>
    <col min="11553" max="11553" width="1.42578125" style="2" customWidth="1"/>
    <col min="11554" max="11558" width="1.42578125" style="2"/>
    <col min="11559" max="11560" width="1.42578125" style="2" customWidth="1"/>
    <col min="11561" max="11584" width="1.42578125" style="2"/>
    <col min="11585" max="11591" width="0" style="2" hidden="1" customWidth="1"/>
    <col min="11592" max="11603" width="1.42578125" style="2" customWidth="1"/>
    <col min="11604" max="11782" width="1.42578125" style="2"/>
    <col min="11783" max="11783" width="1.42578125" style="2" customWidth="1"/>
    <col min="11784" max="11788" width="1.42578125" style="2"/>
    <col min="11789" max="11789" width="1.42578125" style="2" customWidth="1"/>
    <col min="11790" max="11790" width="1.42578125" style="2"/>
    <col min="11791" max="11791" width="1.42578125" style="2" customWidth="1"/>
    <col min="11792" max="11794" width="1.42578125" style="2"/>
    <col min="11795" max="11795" width="1.42578125" style="2" customWidth="1"/>
    <col min="11796" max="11797" width="1.42578125" style="2"/>
    <col min="11798" max="11798" width="1.42578125" style="2" customWidth="1"/>
    <col min="11799" max="11802" width="1.42578125" style="2"/>
    <col min="11803" max="11803" width="1.42578125" style="2" customWidth="1"/>
    <col min="11804" max="11806" width="1.42578125" style="2"/>
    <col min="11807" max="11807" width="1.42578125" style="2" customWidth="1"/>
    <col min="11808" max="11808" width="1.42578125" style="2"/>
    <col min="11809" max="11809" width="1.42578125" style="2" customWidth="1"/>
    <col min="11810" max="11814" width="1.42578125" style="2"/>
    <col min="11815" max="11816" width="1.42578125" style="2" customWidth="1"/>
    <col min="11817" max="11840" width="1.42578125" style="2"/>
    <col min="11841" max="11847" width="0" style="2" hidden="1" customWidth="1"/>
    <col min="11848" max="11859" width="1.42578125" style="2" customWidth="1"/>
    <col min="11860" max="12038" width="1.42578125" style="2"/>
    <col min="12039" max="12039" width="1.42578125" style="2" customWidth="1"/>
    <col min="12040" max="12044" width="1.42578125" style="2"/>
    <col min="12045" max="12045" width="1.42578125" style="2" customWidth="1"/>
    <col min="12046" max="12046" width="1.42578125" style="2"/>
    <col min="12047" max="12047" width="1.42578125" style="2" customWidth="1"/>
    <col min="12048" max="12050" width="1.42578125" style="2"/>
    <col min="12051" max="12051" width="1.42578125" style="2" customWidth="1"/>
    <col min="12052" max="12053" width="1.42578125" style="2"/>
    <col min="12054" max="12054" width="1.42578125" style="2" customWidth="1"/>
    <col min="12055" max="12058" width="1.42578125" style="2"/>
    <col min="12059" max="12059" width="1.42578125" style="2" customWidth="1"/>
    <col min="12060" max="12062" width="1.42578125" style="2"/>
    <col min="12063" max="12063" width="1.42578125" style="2" customWidth="1"/>
    <col min="12064" max="12064" width="1.42578125" style="2"/>
    <col min="12065" max="12065" width="1.42578125" style="2" customWidth="1"/>
    <col min="12066" max="12070" width="1.42578125" style="2"/>
    <col min="12071" max="12072" width="1.42578125" style="2" customWidth="1"/>
    <col min="12073" max="12096" width="1.42578125" style="2"/>
    <col min="12097" max="12103" width="0" style="2" hidden="1" customWidth="1"/>
    <col min="12104" max="12115" width="1.42578125" style="2" customWidth="1"/>
    <col min="12116" max="12294" width="1.42578125" style="2"/>
    <col min="12295" max="12295" width="1.42578125" style="2" customWidth="1"/>
    <col min="12296" max="12300" width="1.42578125" style="2"/>
    <col min="12301" max="12301" width="1.42578125" style="2" customWidth="1"/>
    <col min="12302" max="12302" width="1.42578125" style="2"/>
    <col min="12303" max="12303" width="1.42578125" style="2" customWidth="1"/>
    <col min="12304" max="12306" width="1.42578125" style="2"/>
    <col min="12307" max="12307" width="1.42578125" style="2" customWidth="1"/>
    <col min="12308" max="12309" width="1.42578125" style="2"/>
    <col min="12310" max="12310" width="1.42578125" style="2" customWidth="1"/>
    <col min="12311" max="12314" width="1.42578125" style="2"/>
    <col min="12315" max="12315" width="1.42578125" style="2" customWidth="1"/>
    <col min="12316" max="12318" width="1.42578125" style="2"/>
    <col min="12319" max="12319" width="1.42578125" style="2" customWidth="1"/>
    <col min="12320" max="12320" width="1.42578125" style="2"/>
    <col min="12321" max="12321" width="1.42578125" style="2" customWidth="1"/>
    <col min="12322" max="12326" width="1.42578125" style="2"/>
    <col min="12327" max="12328" width="1.42578125" style="2" customWidth="1"/>
    <col min="12329" max="12352" width="1.42578125" style="2"/>
    <col min="12353" max="12359" width="0" style="2" hidden="1" customWidth="1"/>
    <col min="12360" max="12371" width="1.42578125" style="2" customWidth="1"/>
    <col min="12372" max="12550" width="1.42578125" style="2"/>
    <col min="12551" max="12551" width="1.42578125" style="2" customWidth="1"/>
    <col min="12552" max="12556" width="1.42578125" style="2"/>
    <col min="12557" max="12557" width="1.42578125" style="2" customWidth="1"/>
    <col min="12558" max="12558" width="1.42578125" style="2"/>
    <col min="12559" max="12559" width="1.42578125" style="2" customWidth="1"/>
    <col min="12560" max="12562" width="1.42578125" style="2"/>
    <col min="12563" max="12563" width="1.42578125" style="2" customWidth="1"/>
    <col min="12564" max="12565" width="1.42578125" style="2"/>
    <col min="12566" max="12566" width="1.42578125" style="2" customWidth="1"/>
    <col min="12567" max="12570" width="1.42578125" style="2"/>
    <col min="12571" max="12571" width="1.42578125" style="2" customWidth="1"/>
    <col min="12572" max="12574" width="1.42578125" style="2"/>
    <col min="12575" max="12575" width="1.42578125" style="2" customWidth="1"/>
    <col min="12576" max="12576" width="1.42578125" style="2"/>
    <col min="12577" max="12577" width="1.42578125" style="2" customWidth="1"/>
    <col min="12578" max="12582" width="1.42578125" style="2"/>
    <col min="12583" max="12584" width="1.42578125" style="2" customWidth="1"/>
    <col min="12585" max="12608" width="1.42578125" style="2"/>
    <col min="12609" max="12615" width="0" style="2" hidden="1" customWidth="1"/>
    <col min="12616" max="12627" width="1.42578125" style="2" customWidth="1"/>
    <col min="12628" max="12806" width="1.42578125" style="2"/>
    <col min="12807" max="12807" width="1.42578125" style="2" customWidth="1"/>
    <col min="12808" max="12812" width="1.42578125" style="2"/>
    <col min="12813" max="12813" width="1.42578125" style="2" customWidth="1"/>
    <col min="12814" max="12814" width="1.42578125" style="2"/>
    <col min="12815" max="12815" width="1.42578125" style="2" customWidth="1"/>
    <col min="12816" max="12818" width="1.42578125" style="2"/>
    <col min="12819" max="12819" width="1.42578125" style="2" customWidth="1"/>
    <col min="12820" max="12821" width="1.42578125" style="2"/>
    <col min="12822" max="12822" width="1.42578125" style="2" customWidth="1"/>
    <col min="12823" max="12826" width="1.42578125" style="2"/>
    <col min="12827" max="12827" width="1.42578125" style="2" customWidth="1"/>
    <col min="12828" max="12830" width="1.42578125" style="2"/>
    <col min="12831" max="12831" width="1.42578125" style="2" customWidth="1"/>
    <col min="12832" max="12832" width="1.42578125" style="2"/>
    <col min="12833" max="12833" width="1.42578125" style="2" customWidth="1"/>
    <col min="12834" max="12838" width="1.42578125" style="2"/>
    <col min="12839" max="12840" width="1.42578125" style="2" customWidth="1"/>
    <col min="12841" max="12864" width="1.42578125" style="2"/>
    <col min="12865" max="12871" width="0" style="2" hidden="1" customWidth="1"/>
    <col min="12872" max="12883" width="1.42578125" style="2" customWidth="1"/>
    <col min="12884" max="13062" width="1.42578125" style="2"/>
    <col min="13063" max="13063" width="1.42578125" style="2" customWidth="1"/>
    <col min="13064" max="13068" width="1.42578125" style="2"/>
    <col min="13069" max="13069" width="1.42578125" style="2" customWidth="1"/>
    <col min="13070" max="13070" width="1.42578125" style="2"/>
    <col min="13071" max="13071" width="1.42578125" style="2" customWidth="1"/>
    <col min="13072" max="13074" width="1.42578125" style="2"/>
    <col min="13075" max="13075" width="1.42578125" style="2" customWidth="1"/>
    <col min="13076" max="13077" width="1.42578125" style="2"/>
    <col min="13078" max="13078" width="1.42578125" style="2" customWidth="1"/>
    <col min="13079" max="13082" width="1.42578125" style="2"/>
    <col min="13083" max="13083" width="1.42578125" style="2" customWidth="1"/>
    <col min="13084" max="13086" width="1.42578125" style="2"/>
    <col min="13087" max="13087" width="1.42578125" style="2" customWidth="1"/>
    <col min="13088" max="13088" width="1.42578125" style="2"/>
    <col min="13089" max="13089" width="1.42578125" style="2" customWidth="1"/>
    <col min="13090" max="13094" width="1.42578125" style="2"/>
    <col min="13095" max="13096" width="1.42578125" style="2" customWidth="1"/>
    <col min="13097" max="13120" width="1.42578125" style="2"/>
    <col min="13121" max="13127" width="0" style="2" hidden="1" customWidth="1"/>
    <col min="13128" max="13139" width="1.42578125" style="2" customWidth="1"/>
    <col min="13140" max="13318" width="1.42578125" style="2"/>
    <col min="13319" max="13319" width="1.42578125" style="2" customWidth="1"/>
    <col min="13320" max="13324" width="1.42578125" style="2"/>
    <col min="13325" max="13325" width="1.42578125" style="2" customWidth="1"/>
    <col min="13326" max="13326" width="1.42578125" style="2"/>
    <col min="13327" max="13327" width="1.42578125" style="2" customWidth="1"/>
    <col min="13328" max="13330" width="1.42578125" style="2"/>
    <col min="13331" max="13331" width="1.42578125" style="2" customWidth="1"/>
    <col min="13332" max="13333" width="1.42578125" style="2"/>
    <col min="13334" max="13334" width="1.42578125" style="2" customWidth="1"/>
    <col min="13335" max="13338" width="1.42578125" style="2"/>
    <col min="13339" max="13339" width="1.42578125" style="2" customWidth="1"/>
    <col min="13340" max="13342" width="1.42578125" style="2"/>
    <col min="13343" max="13343" width="1.42578125" style="2" customWidth="1"/>
    <col min="13344" max="13344" width="1.42578125" style="2"/>
    <col min="13345" max="13345" width="1.42578125" style="2" customWidth="1"/>
    <col min="13346" max="13350" width="1.42578125" style="2"/>
    <col min="13351" max="13352" width="1.42578125" style="2" customWidth="1"/>
    <col min="13353" max="13376" width="1.42578125" style="2"/>
    <col min="13377" max="13383" width="0" style="2" hidden="1" customWidth="1"/>
    <col min="13384" max="13395" width="1.42578125" style="2" customWidth="1"/>
    <col min="13396" max="13574" width="1.42578125" style="2"/>
    <col min="13575" max="13575" width="1.42578125" style="2" customWidth="1"/>
    <col min="13576" max="13580" width="1.42578125" style="2"/>
    <col min="13581" max="13581" width="1.42578125" style="2" customWidth="1"/>
    <col min="13582" max="13582" width="1.42578125" style="2"/>
    <col min="13583" max="13583" width="1.42578125" style="2" customWidth="1"/>
    <col min="13584" max="13586" width="1.42578125" style="2"/>
    <col min="13587" max="13587" width="1.42578125" style="2" customWidth="1"/>
    <col min="13588" max="13589" width="1.42578125" style="2"/>
    <col min="13590" max="13590" width="1.42578125" style="2" customWidth="1"/>
    <col min="13591" max="13594" width="1.42578125" style="2"/>
    <col min="13595" max="13595" width="1.42578125" style="2" customWidth="1"/>
    <col min="13596" max="13598" width="1.42578125" style="2"/>
    <col min="13599" max="13599" width="1.42578125" style="2" customWidth="1"/>
    <col min="13600" max="13600" width="1.42578125" style="2"/>
    <col min="13601" max="13601" width="1.42578125" style="2" customWidth="1"/>
    <col min="13602" max="13606" width="1.42578125" style="2"/>
    <col min="13607" max="13608" width="1.42578125" style="2" customWidth="1"/>
    <col min="13609" max="13632" width="1.42578125" style="2"/>
    <col min="13633" max="13639" width="0" style="2" hidden="1" customWidth="1"/>
    <col min="13640" max="13651" width="1.42578125" style="2" customWidth="1"/>
    <col min="13652" max="13830" width="1.42578125" style="2"/>
    <col min="13831" max="13831" width="1.42578125" style="2" customWidth="1"/>
    <col min="13832" max="13836" width="1.42578125" style="2"/>
    <col min="13837" max="13837" width="1.42578125" style="2" customWidth="1"/>
    <col min="13838" max="13838" width="1.42578125" style="2"/>
    <col min="13839" max="13839" width="1.42578125" style="2" customWidth="1"/>
    <col min="13840" max="13842" width="1.42578125" style="2"/>
    <col min="13843" max="13843" width="1.42578125" style="2" customWidth="1"/>
    <col min="13844" max="13845" width="1.42578125" style="2"/>
    <col min="13846" max="13846" width="1.42578125" style="2" customWidth="1"/>
    <col min="13847" max="13850" width="1.42578125" style="2"/>
    <col min="13851" max="13851" width="1.42578125" style="2" customWidth="1"/>
    <col min="13852" max="13854" width="1.42578125" style="2"/>
    <col min="13855" max="13855" width="1.42578125" style="2" customWidth="1"/>
    <col min="13856" max="13856" width="1.42578125" style="2"/>
    <col min="13857" max="13857" width="1.42578125" style="2" customWidth="1"/>
    <col min="13858" max="13862" width="1.42578125" style="2"/>
    <col min="13863" max="13864" width="1.42578125" style="2" customWidth="1"/>
    <col min="13865" max="13888" width="1.42578125" style="2"/>
    <col min="13889" max="13895" width="0" style="2" hidden="1" customWidth="1"/>
    <col min="13896" max="13907" width="1.42578125" style="2" customWidth="1"/>
    <col min="13908" max="14086" width="1.42578125" style="2"/>
    <col min="14087" max="14087" width="1.42578125" style="2" customWidth="1"/>
    <col min="14088" max="14092" width="1.42578125" style="2"/>
    <col min="14093" max="14093" width="1.42578125" style="2" customWidth="1"/>
    <col min="14094" max="14094" width="1.42578125" style="2"/>
    <col min="14095" max="14095" width="1.42578125" style="2" customWidth="1"/>
    <col min="14096" max="14098" width="1.42578125" style="2"/>
    <col min="14099" max="14099" width="1.42578125" style="2" customWidth="1"/>
    <col min="14100" max="14101" width="1.42578125" style="2"/>
    <col min="14102" max="14102" width="1.42578125" style="2" customWidth="1"/>
    <col min="14103" max="14106" width="1.42578125" style="2"/>
    <col min="14107" max="14107" width="1.42578125" style="2" customWidth="1"/>
    <col min="14108" max="14110" width="1.42578125" style="2"/>
    <col min="14111" max="14111" width="1.42578125" style="2" customWidth="1"/>
    <col min="14112" max="14112" width="1.42578125" style="2"/>
    <col min="14113" max="14113" width="1.42578125" style="2" customWidth="1"/>
    <col min="14114" max="14118" width="1.42578125" style="2"/>
    <col min="14119" max="14120" width="1.42578125" style="2" customWidth="1"/>
    <col min="14121" max="14144" width="1.42578125" style="2"/>
    <col min="14145" max="14151" width="0" style="2" hidden="1" customWidth="1"/>
    <col min="14152" max="14163" width="1.42578125" style="2" customWidth="1"/>
    <col min="14164" max="14342" width="1.42578125" style="2"/>
    <col min="14343" max="14343" width="1.42578125" style="2" customWidth="1"/>
    <col min="14344" max="14348" width="1.42578125" style="2"/>
    <col min="14349" max="14349" width="1.42578125" style="2" customWidth="1"/>
    <col min="14350" max="14350" width="1.42578125" style="2"/>
    <col min="14351" max="14351" width="1.42578125" style="2" customWidth="1"/>
    <col min="14352" max="14354" width="1.42578125" style="2"/>
    <col min="14355" max="14355" width="1.42578125" style="2" customWidth="1"/>
    <col min="14356" max="14357" width="1.42578125" style="2"/>
    <col min="14358" max="14358" width="1.42578125" style="2" customWidth="1"/>
    <col min="14359" max="14362" width="1.42578125" style="2"/>
    <col min="14363" max="14363" width="1.42578125" style="2" customWidth="1"/>
    <col min="14364" max="14366" width="1.42578125" style="2"/>
    <col min="14367" max="14367" width="1.42578125" style="2" customWidth="1"/>
    <col min="14368" max="14368" width="1.42578125" style="2"/>
    <col min="14369" max="14369" width="1.42578125" style="2" customWidth="1"/>
    <col min="14370" max="14374" width="1.42578125" style="2"/>
    <col min="14375" max="14376" width="1.42578125" style="2" customWidth="1"/>
    <col min="14377" max="14400" width="1.42578125" style="2"/>
    <col min="14401" max="14407" width="0" style="2" hidden="1" customWidth="1"/>
    <col min="14408" max="14419" width="1.42578125" style="2" customWidth="1"/>
    <col min="14420" max="14598" width="1.42578125" style="2"/>
    <col min="14599" max="14599" width="1.42578125" style="2" customWidth="1"/>
    <col min="14600" max="14604" width="1.42578125" style="2"/>
    <col min="14605" max="14605" width="1.42578125" style="2" customWidth="1"/>
    <col min="14606" max="14606" width="1.42578125" style="2"/>
    <col min="14607" max="14607" width="1.42578125" style="2" customWidth="1"/>
    <col min="14608" max="14610" width="1.42578125" style="2"/>
    <col min="14611" max="14611" width="1.42578125" style="2" customWidth="1"/>
    <col min="14612" max="14613" width="1.42578125" style="2"/>
    <col min="14614" max="14614" width="1.42578125" style="2" customWidth="1"/>
    <col min="14615" max="14618" width="1.42578125" style="2"/>
    <col min="14619" max="14619" width="1.42578125" style="2" customWidth="1"/>
    <col min="14620" max="14622" width="1.42578125" style="2"/>
    <col min="14623" max="14623" width="1.42578125" style="2" customWidth="1"/>
    <col min="14624" max="14624" width="1.42578125" style="2"/>
    <col min="14625" max="14625" width="1.42578125" style="2" customWidth="1"/>
    <col min="14626" max="14630" width="1.42578125" style="2"/>
    <col min="14631" max="14632" width="1.42578125" style="2" customWidth="1"/>
    <col min="14633" max="14656" width="1.42578125" style="2"/>
    <col min="14657" max="14663" width="0" style="2" hidden="1" customWidth="1"/>
    <col min="14664" max="14675" width="1.42578125" style="2" customWidth="1"/>
    <col min="14676" max="14854" width="1.42578125" style="2"/>
    <col min="14855" max="14855" width="1.42578125" style="2" customWidth="1"/>
    <col min="14856" max="14860" width="1.42578125" style="2"/>
    <col min="14861" max="14861" width="1.42578125" style="2" customWidth="1"/>
    <col min="14862" max="14862" width="1.42578125" style="2"/>
    <col min="14863" max="14863" width="1.42578125" style="2" customWidth="1"/>
    <col min="14864" max="14866" width="1.42578125" style="2"/>
    <col min="14867" max="14867" width="1.42578125" style="2" customWidth="1"/>
    <col min="14868" max="14869" width="1.42578125" style="2"/>
    <col min="14870" max="14870" width="1.42578125" style="2" customWidth="1"/>
    <col min="14871" max="14874" width="1.42578125" style="2"/>
    <col min="14875" max="14875" width="1.42578125" style="2" customWidth="1"/>
    <col min="14876" max="14878" width="1.42578125" style="2"/>
    <col min="14879" max="14879" width="1.42578125" style="2" customWidth="1"/>
    <col min="14880" max="14880" width="1.42578125" style="2"/>
    <col min="14881" max="14881" width="1.42578125" style="2" customWidth="1"/>
    <col min="14882" max="14886" width="1.42578125" style="2"/>
    <col min="14887" max="14888" width="1.42578125" style="2" customWidth="1"/>
    <col min="14889" max="14912" width="1.42578125" style="2"/>
    <col min="14913" max="14919" width="0" style="2" hidden="1" customWidth="1"/>
    <col min="14920" max="14931" width="1.42578125" style="2" customWidth="1"/>
    <col min="14932" max="15110" width="1.42578125" style="2"/>
    <col min="15111" max="15111" width="1.42578125" style="2" customWidth="1"/>
    <col min="15112" max="15116" width="1.42578125" style="2"/>
    <col min="15117" max="15117" width="1.42578125" style="2" customWidth="1"/>
    <col min="15118" max="15118" width="1.42578125" style="2"/>
    <col min="15119" max="15119" width="1.42578125" style="2" customWidth="1"/>
    <col min="15120" max="15122" width="1.42578125" style="2"/>
    <col min="15123" max="15123" width="1.42578125" style="2" customWidth="1"/>
    <col min="15124" max="15125" width="1.42578125" style="2"/>
    <col min="15126" max="15126" width="1.42578125" style="2" customWidth="1"/>
    <col min="15127" max="15130" width="1.42578125" style="2"/>
    <col min="15131" max="15131" width="1.42578125" style="2" customWidth="1"/>
    <col min="15132" max="15134" width="1.42578125" style="2"/>
    <col min="15135" max="15135" width="1.42578125" style="2" customWidth="1"/>
    <col min="15136" max="15136" width="1.42578125" style="2"/>
    <col min="15137" max="15137" width="1.42578125" style="2" customWidth="1"/>
    <col min="15138" max="15142" width="1.42578125" style="2"/>
    <col min="15143" max="15144" width="1.42578125" style="2" customWidth="1"/>
    <col min="15145" max="15168" width="1.42578125" style="2"/>
    <col min="15169" max="15175" width="0" style="2" hidden="1" customWidth="1"/>
    <col min="15176" max="15187" width="1.42578125" style="2" customWidth="1"/>
    <col min="15188" max="15366" width="1.42578125" style="2"/>
    <col min="15367" max="15367" width="1.42578125" style="2" customWidth="1"/>
    <col min="15368" max="15372" width="1.42578125" style="2"/>
    <col min="15373" max="15373" width="1.42578125" style="2" customWidth="1"/>
    <col min="15374" max="15374" width="1.42578125" style="2"/>
    <col min="15375" max="15375" width="1.42578125" style="2" customWidth="1"/>
    <col min="15376" max="15378" width="1.42578125" style="2"/>
    <col min="15379" max="15379" width="1.42578125" style="2" customWidth="1"/>
    <col min="15380" max="15381" width="1.42578125" style="2"/>
    <col min="15382" max="15382" width="1.42578125" style="2" customWidth="1"/>
    <col min="15383" max="15386" width="1.42578125" style="2"/>
    <col min="15387" max="15387" width="1.42578125" style="2" customWidth="1"/>
    <col min="15388" max="15390" width="1.42578125" style="2"/>
    <col min="15391" max="15391" width="1.42578125" style="2" customWidth="1"/>
    <col min="15392" max="15392" width="1.42578125" style="2"/>
    <col min="15393" max="15393" width="1.42578125" style="2" customWidth="1"/>
    <col min="15394" max="15398" width="1.42578125" style="2"/>
    <col min="15399" max="15400" width="1.42578125" style="2" customWidth="1"/>
    <col min="15401" max="15424" width="1.42578125" style="2"/>
    <col min="15425" max="15431" width="0" style="2" hidden="1" customWidth="1"/>
    <col min="15432" max="15443" width="1.42578125" style="2" customWidth="1"/>
    <col min="15444" max="15622" width="1.42578125" style="2"/>
    <col min="15623" max="15623" width="1.42578125" style="2" customWidth="1"/>
    <col min="15624" max="15628" width="1.42578125" style="2"/>
    <col min="15629" max="15629" width="1.42578125" style="2" customWidth="1"/>
    <col min="15630" max="15630" width="1.42578125" style="2"/>
    <col min="15631" max="15631" width="1.42578125" style="2" customWidth="1"/>
    <col min="15632" max="15634" width="1.42578125" style="2"/>
    <col min="15635" max="15635" width="1.42578125" style="2" customWidth="1"/>
    <col min="15636" max="15637" width="1.42578125" style="2"/>
    <col min="15638" max="15638" width="1.42578125" style="2" customWidth="1"/>
    <col min="15639" max="15642" width="1.42578125" style="2"/>
    <col min="15643" max="15643" width="1.42578125" style="2" customWidth="1"/>
    <col min="15644" max="15646" width="1.42578125" style="2"/>
    <col min="15647" max="15647" width="1.42578125" style="2" customWidth="1"/>
    <col min="15648" max="15648" width="1.42578125" style="2"/>
    <col min="15649" max="15649" width="1.42578125" style="2" customWidth="1"/>
    <col min="15650" max="15654" width="1.42578125" style="2"/>
    <col min="15655" max="15656" width="1.42578125" style="2" customWidth="1"/>
    <col min="15657" max="15680" width="1.42578125" style="2"/>
    <col min="15681" max="15687" width="0" style="2" hidden="1" customWidth="1"/>
    <col min="15688" max="15699" width="1.42578125" style="2" customWidth="1"/>
    <col min="15700" max="15878" width="1.42578125" style="2"/>
    <col min="15879" max="15879" width="1.42578125" style="2" customWidth="1"/>
    <col min="15880" max="15884" width="1.42578125" style="2"/>
    <col min="15885" max="15885" width="1.42578125" style="2" customWidth="1"/>
    <col min="15886" max="15886" width="1.42578125" style="2"/>
    <col min="15887" max="15887" width="1.42578125" style="2" customWidth="1"/>
    <col min="15888" max="15890" width="1.42578125" style="2"/>
    <col min="15891" max="15891" width="1.42578125" style="2" customWidth="1"/>
    <col min="15892" max="15893" width="1.42578125" style="2"/>
    <col min="15894" max="15894" width="1.42578125" style="2" customWidth="1"/>
    <col min="15895" max="15898" width="1.42578125" style="2"/>
    <col min="15899" max="15899" width="1.42578125" style="2" customWidth="1"/>
    <col min="15900" max="15902" width="1.42578125" style="2"/>
    <col min="15903" max="15903" width="1.42578125" style="2" customWidth="1"/>
    <col min="15904" max="15904" width="1.42578125" style="2"/>
    <col min="15905" max="15905" width="1.42578125" style="2" customWidth="1"/>
    <col min="15906" max="15910" width="1.42578125" style="2"/>
    <col min="15911" max="15912" width="1.42578125" style="2" customWidth="1"/>
    <col min="15913" max="15936" width="1.42578125" style="2"/>
    <col min="15937" max="15943" width="0" style="2" hidden="1" customWidth="1"/>
    <col min="15944" max="15955" width="1.42578125" style="2" customWidth="1"/>
    <col min="15956" max="16134" width="1.42578125" style="2"/>
    <col min="16135" max="16135" width="1.42578125" style="2" customWidth="1"/>
    <col min="16136" max="16140" width="1.42578125" style="2"/>
    <col min="16141" max="16141" width="1.42578125" style="2" customWidth="1"/>
    <col min="16142" max="16142" width="1.42578125" style="2"/>
    <col min="16143" max="16143" width="1.42578125" style="2" customWidth="1"/>
    <col min="16144" max="16146" width="1.42578125" style="2"/>
    <col min="16147" max="16147" width="1.42578125" style="2" customWidth="1"/>
    <col min="16148" max="16149" width="1.42578125" style="2"/>
    <col min="16150" max="16150" width="1.42578125" style="2" customWidth="1"/>
    <col min="16151" max="16154" width="1.42578125" style="2"/>
    <col min="16155" max="16155" width="1.42578125" style="2" customWidth="1"/>
    <col min="16156" max="16158" width="1.42578125" style="2"/>
    <col min="16159" max="16159" width="1.42578125" style="2" customWidth="1"/>
    <col min="16160" max="16160" width="1.42578125" style="2"/>
    <col min="16161" max="16161" width="1.42578125" style="2" customWidth="1"/>
    <col min="16162" max="16166" width="1.42578125" style="2"/>
    <col min="16167" max="16168" width="1.42578125" style="2" customWidth="1"/>
    <col min="16169" max="16192" width="1.42578125" style="2"/>
    <col min="16193" max="16199" width="0" style="2" hidden="1" customWidth="1"/>
    <col min="16200" max="16211" width="1.42578125" style="2" customWidth="1"/>
    <col min="16212" max="16384" width="1.42578125" style="2"/>
  </cols>
  <sheetData>
    <row r="1" spans="1:71" ht="7.5" customHeight="1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5"/>
      <c r="O1" s="96" t="s">
        <v>1223</v>
      </c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8"/>
      <c r="AI1" s="105" t="s">
        <v>1224</v>
      </c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7"/>
      <c r="AY1" s="97" t="s">
        <v>1225</v>
      </c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114"/>
      <c r="BM1" s="1"/>
      <c r="BN1" s="1"/>
      <c r="BO1" s="1"/>
      <c r="BP1" s="1"/>
      <c r="BQ1" s="1"/>
      <c r="BR1" s="1"/>
      <c r="BS1" s="1"/>
    </row>
    <row r="2" spans="1:71" ht="7.5" customHeight="1" x14ac:dyDescent="0.25">
      <c r="A2" s="16"/>
      <c r="B2" s="17"/>
      <c r="C2" s="17"/>
      <c r="D2" s="17"/>
      <c r="E2" s="17" t="s">
        <v>1217</v>
      </c>
      <c r="F2" s="17"/>
      <c r="G2" s="17"/>
      <c r="H2" s="17"/>
      <c r="I2" s="17"/>
      <c r="J2" s="17"/>
      <c r="K2" s="17"/>
      <c r="L2" s="17"/>
      <c r="M2" s="17"/>
      <c r="N2" s="18"/>
      <c r="O2" s="99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1"/>
      <c r="AI2" s="108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1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15"/>
      <c r="BM2" s="1"/>
      <c r="BN2" s="1"/>
      <c r="BO2" s="1"/>
      <c r="BP2" s="1"/>
      <c r="BQ2" s="1"/>
      <c r="BR2" s="1"/>
      <c r="BS2" s="1"/>
    </row>
    <row r="3" spans="1:71" ht="7.5" customHeight="1" x14ac:dyDescent="0.25">
      <c r="A3" s="16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8"/>
      <c r="O3" s="99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1"/>
      <c r="AI3" s="108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10"/>
      <c r="AY3" s="100"/>
      <c r="AZ3" s="100"/>
      <c r="BA3" s="100"/>
      <c r="BB3" s="100"/>
      <c r="BC3" s="100"/>
      <c r="BD3" s="100"/>
      <c r="BE3" s="100"/>
      <c r="BF3" s="100"/>
      <c r="BG3" s="100"/>
      <c r="BH3" s="100"/>
      <c r="BI3" s="100"/>
      <c r="BJ3" s="100"/>
      <c r="BK3" s="100"/>
      <c r="BL3" s="115"/>
      <c r="BM3" s="1"/>
      <c r="BN3" s="1"/>
      <c r="BO3" s="1"/>
      <c r="BP3" s="1"/>
      <c r="BQ3" s="1"/>
      <c r="BR3" s="1"/>
      <c r="BS3" s="1"/>
    </row>
    <row r="4" spans="1:71" ht="7.5" customHeight="1" x14ac:dyDescent="0.25">
      <c r="A4" s="16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8"/>
      <c r="O4" s="99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1"/>
      <c r="AI4" s="108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10"/>
      <c r="AY4" s="100"/>
      <c r="AZ4" s="100"/>
      <c r="BA4" s="100"/>
      <c r="BB4" s="100"/>
      <c r="BC4" s="100"/>
      <c r="BD4" s="100"/>
      <c r="BE4" s="100"/>
      <c r="BF4" s="100"/>
      <c r="BG4" s="100"/>
      <c r="BH4" s="100"/>
      <c r="BI4" s="100"/>
      <c r="BJ4" s="100"/>
      <c r="BK4" s="100"/>
      <c r="BL4" s="115"/>
      <c r="BM4" s="1"/>
      <c r="BN4" s="1"/>
      <c r="BO4" s="1"/>
      <c r="BP4" s="1"/>
      <c r="BQ4" s="1"/>
      <c r="BR4" s="1"/>
      <c r="BS4" s="1"/>
    </row>
    <row r="5" spans="1:71" ht="7.5" customHeight="1" x14ac:dyDescent="0.25">
      <c r="A5" s="16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8"/>
      <c r="O5" s="99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1"/>
      <c r="AI5" s="108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10"/>
      <c r="AY5" s="100"/>
      <c r="AZ5" s="100"/>
      <c r="BA5" s="100"/>
      <c r="BB5" s="100"/>
      <c r="BC5" s="100"/>
      <c r="BD5" s="100"/>
      <c r="BE5" s="100"/>
      <c r="BF5" s="100"/>
      <c r="BG5" s="100"/>
      <c r="BH5" s="100"/>
      <c r="BI5" s="100"/>
      <c r="BJ5" s="100"/>
      <c r="BK5" s="100"/>
      <c r="BL5" s="115"/>
      <c r="BM5" s="1"/>
      <c r="BN5" s="1"/>
      <c r="BO5" s="1"/>
      <c r="BP5" s="1"/>
      <c r="BQ5" s="1"/>
      <c r="BR5" s="1"/>
      <c r="BS5" s="1"/>
    </row>
    <row r="6" spans="1:71" ht="7.5" customHeight="1" x14ac:dyDescent="0.25">
      <c r="A6" s="19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1"/>
      <c r="O6" s="102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4"/>
      <c r="AI6" s="111"/>
      <c r="AJ6" s="112"/>
      <c r="AK6" s="112"/>
      <c r="AL6" s="112"/>
      <c r="AM6" s="112"/>
      <c r="AN6" s="112"/>
      <c r="AO6" s="112"/>
      <c r="AP6" s="112"/>
      <c r="AQ6" s="112"/>
      <c r="AR6" s="112"/>
      <c r="AS6" s="112"/>
      <c r="AT6" s="112"/>
      <c r="AU6" s="112"/>
      <c r="AV6" s="112"/>
      <c r="AW6" s="112"/>
      <c r="AX6" s="11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16"/>
      <c r="BM6" s="1"/>
      <c r="BN6" s="1"/>
      <c r="BO6" s="1"/>
      <c r="BP6" s="1"/>
      <c r="BQ6" s="1"/>
      <c r="BR6" s="1"/>
      <c r="BS6" s="1"/>
    </row>
    <row r="7" spans="1:71" ht="7.5" customHeight="1" x14ac:dyDescent="0.25">
      <c r="A7" s="117" t="s">
        <v>1226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9"/>
      <c r="T7" s="126" t="s">
        <v>351</v>
      </c>
      <c r="U7" s="127"/>
      <c r="V7" s="127"/>
      <c r="W7" s="127"/>
      <c r="X7" s="127"/>
      <c r="Y7" s="127"/>
      <c r="Z7" s="127"/>
      <c r="AA7" s="127"/>
      <c r="AB7" s="127"/>
      <c r="AC7" s="127"/>
      <c r="AD7" s="127"/>
      <c r="AE7" s="127"/>
      <c r="AF7" s="127"/>
      <c r="AG7" s="127"/>
      <c r="AH7" s="127"/>
      <c r="AI7" s="127"/>
      <c r="AJ7" s="127"/>
      <c r="AK7" s="127"/>
      <c r="AL7" s="127"/>
      <c r="AM7" s="127"/>
      <c r="AN7" s="127"/>
      <c r="AO7" s="127"/>
      <c r="AP7" s="127"/>
      <c r="AQ7" s="127"/>
      <c r="AR7" s="127"/>
      <c r="AS7" s="127"/>
      <c r="AT7" s="127"/>
      <c r="AU7" s="127"/>
      <c r="AV7" s="127"/>
      <c r="AW7" s="127"/>
      <c r="AX7" s="127"/>
      <c r="AY7" s="127"/>
      <c r="AZ7" s="127"/>
      <c r="BA7" s="127"/>
      <c r="BB7" s="127"/>
      <c r="BC7" s="127"/>
      <c r="BD7" s="127"/>
      <c r="BE7" s="127"/>
      <c r="BF7" s="127"/>
      <c r="BG7" s="127"/>
      <c r="BH7" s="127"/>
      <c r="BI7" s="127"/>
      <c r="BJ7" s="127"/>
      <c r="BK7" s="127"/>
      <c r="BL7" s="128"/>
      <c r="BM7" s="1"/>
      <c r="BN7" s="1"/>
      <c r="BO7" s="1"/>
      <c r="BP7" s="1"/>
      <c r="BQ7" s="1"/>
      <c r="BR7" s="1"/>
      <c r="BS7" s="1"/>
    </row>
    <row r="8" spans="1:71" ht="7.5" customHeight="1" x14ac:dyDescent="0.25">
      <c r="A8" s="120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2"/>
      <c r="T8" s="129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I8" s="130"/>
      <c r="BJ8" s="130"/>
      <c r="BK8" s="130"/>
      <c r="BL8" s="131"/>
      <c r="BM8" s="1"/>
      <c r="BN8" s="1"/>
      <c r="BO8" s="1"/>
      <c r="BP8" s="1"/>
      <c r="BQ8" s="1"/>
      <c r="BR8" s="1"/>
      <c r="BS8" s="1"/>
    </row>
    <row r="9" spans="1:71" ht="7.5" customHeight="1" x14ac:dyDescent="0.25">
      <c r="A9" s="120"/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2"/>
      <c r="T9" s="129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E9" s="130"/>
      <c r="AF9" s="130"/>
      <c r="AG9" s="130"/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/>
      <c r="AX9" s="130"/>
      <c r="AY9" s="130"/>
      <c r="AZ9" s="130"/>
      <c r="BA9" s="130"/>
      <c r="BB9" s="130"/>
      <c r="BC9" s="130"/>
      <c r="BD9" s="130"/>
      <c r="BE9" s="130"/>
      <c r="BF9" s="130"/>
      <c r="BG9" s="130"/>
      <c r="BH9" s="130"/>
      <c r="BI9" s="130"/>
      <c r="BJ9" s="130"/>
      <c r="BK9" s="130"/>
      <c r="BL9" s="131"/>
      <c r="BM9" s="1"/>
      <c r="BN9" s="1"/>
      <c r="BO9" s="1"/>
      <c r="BP9" s="1"/>
      <c r="BQ9" s="1"/>
      <c r="BR9" s="1"/>
      <c r="BS9" s="1"/>
    </row>
    <row r="10" spans="1:71" ht="7.5" customHeight="1" x14ac:dyDescent="0.25">
      <c r="A10" s="123"/>
      <c r="B10" s="124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5"/>
      <c r="T10" s="132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4"/>
      <c r="BM10" s="1"/>
      <c r="BN10" s="1"/>
      <c r="BO10" s="1"/>
      <c r="BP10" s="1"/>
      <c r="BQ10" s="1"/>
      <c r="BR10" s="1"/>
      <c r="BS10" s="1"/>
    </row>
    <row r="11" spans="1:71" ht="7.5" customHeight="1" x14ac:dyDescent="0.25">
      <c r="A11" s="135" t="s">
        <v>1227</v>
      </c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7"/>
      <c r="T11" s="141" t="s">
        <v>1228</v>
      </c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3"/>
      <c r="AQ11" s="141" t="s">
        <v>1229</v>
      </c>
      <c r="AR11" s="142"/>
      <c r="AS11" s="142"/>
      <c r="AT11" s="142"/>
      <c r="AU11" s="142"/>
      <c r="AV11" s="142"/>
      <c r="AW11" s="142"/>
      <c r="AX11" s="142"/>
      <c r="AY11" s="142"/>
      <c r="AZ11" s="142"/>
      <c r="BA11" s="142"/>
      <c r="BB11" s="142"/>
      <c r="BC11" s="142"/>
      <c r="BD11" s="142"/>
      <c r="BE11" s="142"/>
      <c r="BF11" s="142"/>
      <c r="BG11" s="142"/>
      <c r="BH11" s="142"/>
      <c r="BI11" s="142"/>
      <c r="BJ11" s="142"/>
      <c r="BK11" s="142"/>
      <c r="BL11" s="147"/>
      <c r="BM11" s="1"/>
      <c r="BN11" s="1"/>
      <c r="BO11" s="1"/>
      <c r="BP11" s="1"/>
      <c r="BQ11" s="1"/>
      <c r="BR11" s="1"/>
      <c r="BS11" s="1"/>
    </row>
    <row r="12" spans="1:71" ht="7.5" customHeight="1" x14ac:dyDescent="0.25">
      <c r="A12" s="138"/>
      <c r="B12" s="139"/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39"/>
      <c r="P12" s="139"/>
      <c r="Q12" s="139"/>
      <c r="R12" s="139"/>
      <c r="S12" s="140"/>
      <c r="T12" s="144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  <c r="AH12" s="145"/>
      <c r="AI12" s="145"/>
      <c r="AJ12" s="145"/>
      <c r="AK12" s="145"/>
      <c r="AL12" s="145"/>
      <c r="AM12" s="145"/>
      <c r="AN12" s="145"/>
      <c r="AO12" s="145"/>
      <c r="AP12" s="146"/>
      <c r="AQ12" s="144"/>
      <c r="AR12" s="145"/>
      <c r="AS12" s="145"/>
      <c r="AT12" s="145"/>
      <c r="AU12" s="145"/>
      <c r="AV12" s="145"/>
      <c r="AW12" s="145"/>
      <c r="AX12" s="145"/>
      <c r="AY12" s="145"/>
      <c r="AZ12" s="145"/>
      <c r="BA12" s="145"/>
      <c r="BB12" s="145"/>
      <c r="BC12" s="145"/>
      <c r="BD12" s="145"/>
      <c r="BE12" s="145"/>
      <c r="BF12" s="145"/>
      <c r="BG12" s="145"/>
      <c r="BH12" s="145"/>
      <c r="BI12" s="145"/>
      <c r="BJ12" s="145"/>
      <c r="BK12" s="145"/>
      <c r="BL12" s="148"/>
      <c r="BM12" s="1"/>
      <c r="BN12" s="1"/>
      <c r="BO12" s="1"/>
      <c r="BP12" s="1"/>
      <c r="BQ12" s="1"/>
      <c r="BR12" s="1"/>
      <c r="BS12" s="1"/>
    </row>
    <row r="13" spans="1:71" ht="7.5" customHeight="1" x14ac:dyDescent="0.25">
      <c r="A13" s="120" t="s">
        <v>1230</v>
      </c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2"/>
      <c r="T13" s="159" t="s">
        <v>1231</v>
      </c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2"/>
      <c r="AQ13" s="159" t="s">
        <v>1232</v>
      </c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1"/>
      <c r="BK13" s="121"/>
      <c r="BL13" s="160"/>
      <c r="BM13" s="1"/>
      <c r="BN13" s="1"/>
      <c r="BO13" s="1"/>
      <c r="BP13" s="1"/>
      <c r="BQ13" s="1"/>
      <c r="BR13" s="1"/>
      <c r="BS13" s="1"/>
    </row>
    <row r="14" spans="1:71" ht="7.5" customHeight="1" x14ac:dyDescent="0.25">
      <c r="A14" s="120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2"/>
      <c r="T14" s="159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2"/>
      <c r="AQ14" s="159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1"/>
      <c r="BK14" s="121"/>
      <c r="BL14" s="160"/>
      <c r="BM14" s="1"/>
      <c r="BN14" s="1"/>
      <c r="BO14" s="1"/>
      <c r="BP14" s="1"/>
      <c r="BQ14" s="1"/>
      <c r="BR14" s="1"/>
      <c r="BS14" s="1"/>
    </row>
    <row r="15" spans="1:71" ht="7.5" customHeight="1" x14ac:dyDescent="0.25">
      <c r="A15" s="123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5"/>
      <c r="T15" s="161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5"/>
      <c r="AQ15" s="161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24"/>
      <c r="BL15" s="162"/>
      <c r="BM15" s="1"/>
      <c r="BN15" s="1"/>
      <c r="BO15" s="1"/>
      <c r="BP15" s="1"/>
      <c r="BQ15" s="1"/>
      <c r="BR15" s="1"/>
      <c r="BS15" s="1"/>
    </row>
    <row r="16" spans="1:71" ht="7.5" customHeight="1" x14ac:dyDescent="0.25">
      <c r="A16" s="117" t="s">
        <v>1233</v>
      </c>
      <c r="B16" s="149"/>
      <c r="C16" s="149"/>
      <c r="D16" s="149"/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50"/>
      <c r="T16" s="157" t="s">
        <v>1234</v>
      </c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9"/>
      <c r="AH16" s="173" t="s">
        <v>1235</v>
      </c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  <c r="AW16" s="150"/>
      <c r="AX16" s="157" t="s">
        <v>1236</v>
      </c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  <c r="BK16" s="118"/>
      <c r="BL16" s="158"/>
      <c r="BM16" s="1"/>
      <c r="BN16" s="1"/>
      <c r="BO16" s="1"/>
      <c r="BP16" s="1"/>
      <c r="BQ16" s="1"/>
      <c r="BR16" s="1"/>
      <c r="BS16" s="1"/>
    </row>
    <row r="17" spans="1:71" ht="7.5" customHeight="1" x14ac:dyDescent="0.25">
      <c r="A17" s="151"/>
      <c r="B17" s="152"/>
      <c r="C17" s="152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3"/>
      <c r="T17" s="159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2"/>
      <c r="AH17" s="174"/>
      <c r="AI17" s="152"/>
      <c r="AJ17" s="152"/>
      <c r="AK17" s="152"/>
      <c r="AL17" s="152"/>
      <c r="AM17" s="152"/>
      <c r="AN17" s="152"/>
      <c r="AO17" s="152"/>
      <c r="AP17" s="152"/>
      <c r="AQ17" s="152"/>
      <c r="AR17" s="152"/>
      <c r="AS17" s="152"/>
      <c r="AT17" s="152"/>
      <c r="AU17" s="152"/>
      <c r="AV17" s="152"/>
      <c r="AW17" s="153"/>
      <c r="AX17" s="159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1"/>
      <c r="BK17" s="121"/>
      <c r="BL17" s="160"/>
      <c r="BM17" s="1"/>
      <c r="BN17" s="1"/>
      <c r="BO17" s="1"/>
      <c r="BP17" s="1"/>
      <c r="BQ17" s="1"/>
      <c r="BR17" s="1"/>
      <c r="BS17" s="1"/>
    </row>
    <row r="18" spans="1:71" ht="7.5" customHeight="1" x14ac:dyDescent="0.25">
      <c r="A18" s="151"/>
      <c r="B18" s="152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3"/>
      <c r="T18" s="159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2"/>
      <c r="AH18" s="174"/>
      <c r="AI18" s="152"/>
      <c r="AJ18" s="152"/>
      <c r="AK18" s="152"/>
      <c r="AL18" s="152"/>
      <c r="AM18" s="152"/>
      <c r="AN18" s="152"/>
      <c r="AO18" s="152"/>
      <c r="AP18" s="152"/>
      <c r="AQ18" s="152"/>
      <c r="AR18" s="152"/>
      <c r="AS18" s="152"/>
      <c r="AT18" s="152"/>
      <c r="AU18" s="152"/>
      <c r="AV18" s="152"/>
      <c r="AW18" s="153"/>
      <c r="AX18" s="159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1"/>
      <c r="BK18" s="121"/>
      <c r="BL18" s="160"/>
      <c r="BM18" s="1"/>
      <c r="BN18" s="1"/>
      <c r="BO18" s="1"/>
      <c r="BP18" s="1"/>
      <c r="BQ18" s="1"/>
      <c r="BR18" s="1"/>
      <c r="BS18" s="1"/>
    </row>
    <row r="19" spans="1:71" ht="7.5" customHeight="1" x14ac:dyDescent="0.25">
      <c r="A19" s="154"/>
      <c r="B19" s="155"/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6"/>
      <c r="T19" s="161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5"/>
      <c r="AH19" s="17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  <c r="AU19" s="155"/>
      <c r="AV19" s="155"/>
      <c r="AW19" s="156"/>
      <c r="AX19" s="161"/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24"/>
      <c r="BL19" s="162"/>
      <c r="BM19" s="1"/>
      <c r="BN19" s="1"/>
      <c r="BO19" s="1"/>
      <c r="BP19" s="1"/>
      <c r="BQ19" s="1"/>
      <c r="BR19" s="1"/>
      <c r="BS19" s="1"/>
    </row>
    <row r="20" spans="1:71" ht="7.5" customHeight="1" x14ac:dyDescent="0.25">
      <c r="A20" s="117" t="s">
        <v>1237</v>
      </c>
      <c r="B20" s="149"/>
      <c r="C20" s="149"/>
      <c r="D20" s="149"/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50"/>
      <c r="T20" s="157" t="s">
        <v>1236</v>
      </c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  <c r="BK20" s="118"/>
      <c r="BL20" s="158"/>
      <c r="BM20" s="1"/>
      <c r="BN20" s="1"/>
      <c r="BO20" s="1"/>
      <c r="BP20" s="1"/>
      <c r="BQ20" s="1"/>
      <c r="BR20" s="1"/>
      <c r="BS20" s="1"/>
    </row>
    <row r="21" spans="1:71" ht="7.5" customHeight="1" x14ac:dyDescent="0.25">
      <c r="A21" s="151"/>
      <c r="B21" s="152"/>
      <c r="C21" s="152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3"/>
      <c r="T21" s="159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1"/>
      <c r="BK21" s="121"/>
      <c r="BL21" s="160"/>
      <c r="BM21" s="1"/>
      <c r="BN21" s="1"/>
      <c r="BO21" s="1"/>
      <c r="BP21" s="1"/>
      <c r="BQ21" s="1"/>
      <c r="BR21" s="1"/>
      <c r="BS21" s="1"/>
    </row>
    <row r="22" spans="1:71" ht="7.5" customHeight="1" x14ac:dyDescent="0.25">
      <c r="A22" s="151"/>
      <c r="B22" s="152"/>
      <c r="C22" s="152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3"/>
      <c r="T22" s="159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60"/>
      <c r="BM22" s="1"/>
      <c r="BN22" s="1"/>
      <c r="BO22" s="1"/>
      <c r="BP22" s="1"/>
      <c r="BQ22" s="1"/>
      <c r="BR22" s="1"/>
      <c r="BS22" s="1"/>
    </row>
    <row r="23" spans="1:71" ht="7.5" customHeight="1" x14ac:dyDescent="0.25">
      <c r="A23" s="154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6"/>
      <c r="T23" s="161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24"/>
      <c r="BL23" s="162"/>
      <c r="BM23" s="1"/>
      <c r="BN23" s="1"/>
      <c r="BO23" s="1"/>
      <c r="BP23" s="1"/>
      <c r="BQ23" s="1"/>
      <c r="BR23" s="1"/>
      <c r="BS23" s="1"/>
    </row>
    <row r="24" spans="1:71" ht="7.5" customHeight="1" x14ac:dyDescent="0.25">
      <c r="A24" s="117" t="s">
        <v>1238</v>
      </c>
      <c r="B24" s="149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50"/>
      <c r="T24" s="157" t="s">
        <v>1239</v>
      </c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  <c r="BK24" s="118"/>
      <c r="BL24" s="158"/>
      <c r="BM24" s="1"/>
      <c r="BN24" s="1"/>
      <c r="BO24" s="1"/>
      <c r="BP24" s="1"/>
      <c r="BQ24" s="1"/>
      <c r="BR24" s="1"/>
      <c r="BS24" s="1"/>
    </row>
    <row r="25" spans="1:71" ht="7.5" customHeight="1" x14ac:dyDescent="0.25">
      <c r="A25" s="151"/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3"/>
      <c r="T25" s="159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60"/>
      <c r="BM25" s="1"/>
      <c r="BN25" s="1"/>
      <c r="BO25" s="1"/>
      <c r="BP25" s="1"/>
      <c r="BQ25" s="1"/>
      <c r="BR25" s="1"/>
      <c r="BS25" s="1"/>
    </row>
    <row r="26" spans="1:71" ht="7.5" customHeight="1" x14ac:dyDescent="0.25">
      <c r="A26" s="151"/>
      <c r="B26" s="152"/>
      <c r="C26" s="152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3"/>
      <c r="T26" s="159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60"/>
      <c r="BM26" s="1"/>
      <c r="BN26" s="1"/>
      <c r="BO26" s="1"/>
      <c r="BP26" s="1"/>
      <c r="BQ26" s="1"/>
      <c r="BR26" s="1"/>
      <c r="BS26" s="1"/>
    </row>
    <row r="27" spans="1:71" ht="7.5" customHeight="1" x14ac:dyDescent="0.25">
      <c r="A27" s="154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6"/>
      <c r="T27" s="161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4"/>
      <c r="AO27" s="124"/>
      <c r="AP27" s="124"/>
      <c r="AQ27" s="124"/>
      <c r="AR27" s="124"/>
      <c r="AS27" s="124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4"/>
      <c r="BE27" s="124"/>
      <c r="BF27" s="124"/>
      <c r="BG27" s="124"/>
      <c r="BH27" s="124"/>
      <c r="BI27" s="124"/>
      <c r="BJ27" s="124"/>
      <c r="BK27" s="124"/>
      <c r="BL27" s="162"/>
      <c r="BM27" s="1"/>
      <c r="BN27" s="1"/>
      <c r="BO27" s="1"/>
      <c r="BP27" s="1"/>
      <c r="BQ27" s="1"/>
      <c r="BR27" s="1"/>
      <c r="BS27" s="1"/>
    </row>
    <row r="28" spans="1:71" ht="7.5" customHeight="1" x14ac:dyDescent="0.25">
      <c r="A28" s="163" t="s">
        <v>1240</v>
      </c>
      <c r="B28" s="164"/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5"/>
      <c r="T28" s="172" t="str">
        <f>CONCATENATE(BM30,"%")</f>
        <v>100%</v>
      </c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58"/>
      <c r="BM28" s="1"/>
      <c r="BN28" s="1"/>
      <c r="BO28" s="1"/>
      <c r="BP28" s="1"/>
      <c r="BQ28" s="1"/>
      <c r="BR28" s="1"/>
      <c r="BS28" s="1"/>
    </row>
    <row r="29" spans="1:71" ht="7.5" customHeight="1" x14ac:dyDescent="0.25">
      <c r="A29" s="166"/>
      <c r="B29" s="167"/>
      <c r="C29" s="167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159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1"/>
      <c r="BK29" s="121"/>
      <c r="BL29" s="160"/>
      <c r="BM29" s="1"/>
      <c r="BN29" s="1"/>
      <c r="BO29" s="1"/>
      <c r="BP29" s="1"/>
      <c r="BQ29" s="1"/>
      <c r="BR29" s="1"/>
      <c r="BS29" s="1"/>
    </row>
    <row r="30" spans="1:71" ht="7.5" customHeight="1" x14ac:dyDescent="0.25">
      <c r="A30" s="166"/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7"/>
      <c r="P30" s="167"/>
      <c r="Q30" s="167"/>
      <c r="R30" s="167"/>
      <c r="S30" s="168"/>
      <c r="T30" s="159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1"/>
      <c r="BK30" s="121"/>
      <c r="BL30" s="160"/>
      <c r="BM30" s="1" t="s">
        <v>1241</v>
      </c>
      <c r="BN30" s="1"/>
      <c r="BO30" s="1"/>
      <c r="BP30" s="1"/>
      <c r="BQ30" s="1"/>
      <c r="BR30" s="1"/>
      <c r="BS30" s="22"/>
    </row>
    <row r="31" spans="1:71" ht="7.5" customHeight="1" x14ac:dyDescent="0.25">
      <c r="A31" s="169"/>
      <c r="B31" s="170"/>
      <c r="C31" s="170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71"/>
      <c r="T31" s="161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24"/>
      <c r="BL31" s="162"/>
      <c r="BM31" s="1" t="s">
        <v>1241</v>
      </c>
      <c r="BN31" s="1"/>
      <c r="BO31" s="1"/>
      <c r="BP31" s="1"/>
      <c r="BQ31" s="1"/>
      <c r="BR31" s="1"/>
      <c r="BS31" s="1"/>
    </row>
    <row r="32" spans="1:71" ht="7.5" customHeight="1" x14ac:dyDescent="0.25">
      <c r="A32" s="117" t="s">
        <v>1242</v>
      </c>
      <c r="B32" s="149"/>
      <c r="C32" s="149"/>
      <c r="D32" s="149"/>
      <c r="E32" s="149"/>
      <c r="F32" s="149"/>
      <c r="G32" s="149"/>
      <c r="H32" s="149"/>
      <c r="I32" s="149"/>
      <c r="J32" s="149"/>
      <c r="K32" s="149"/>
      <c r="L32" s="207" t="s">
        <v>1217</v>
      </c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7"/>
      <c r="AP32" s="207"/>
      <c r="AQ32" s="207"/>
      <c r="AR32" s="207"/>
      <c r="AS32" s="207"/>
      <c r="AT32" s="207"/>
      <c r="AU32" s="207"/>
      <c r="AV32" s="207"/>
      <c r="AW32" s="207"/>
      <c r="AX32" s="207"/>
      <c r="AY32" s="207"/>
      <c r="AZ32" s="207"/>
      <c r="BA32" s="207"/>
      <c r="BB32" s="207"/>
      <c r="BC32" s="207"/>
      <c r="BD32" s="207"/>
      <c r="BE32" s="207"/>
      <c r="BF32" s="207"/>
      <c r="BG32" s="207"/>
      <c r="BH32" s="207"/>
      <c r="BI32" s="207"/>
      <c r="BJ32" s="207"/>
      <c r="BK32" s="207"/>
      <c r="BL32" s="208"/>
      <c r="BM32" s="1"/>
      <c r="BN32" s="1"/>
      <c r="BO32" s="1"/>
      <c r="BP32" s="1"/>
      <c r="BQ32" s="1"/>
      <c r="BR32" s="1"/>
      <c r="BS32" s="1"/>
    </row>
    <row r="33" spans="1:71" ht="7.5" customHeight="1" x14ac:dyDescent="0.25">
      <c r="A33" s="151"/>
      <c r="B33" s="152"/>
      <c r="C33" s="152"/>
      <c r="D33" s="152"/>
      <c r="E33" s="152"/>
      <c r="F33" s="152"/>
      <c r="G33" s="152"/>
      <c r="H33" s="152"/>
      <c r="I33" s="152"/>
      <c r="J33" s="152"/>
      <c r="K33" s="152"/>
      <c r="L33" s="209"/>
      <c r="M33" s="209"/>
      <c r="N33" s="209"/>
      <c r="O33" s="209"/>
      <c r="P33" s="209"/>
      <c r="Q33" s="209"/>
      <c r="R33" s="209"/>
      <c r="S33" s="209"/>
      <c r="T33" s="209"/>
      <c r="U33" s="209"/>
      <c r="V33" s="209"/>
      <c r="W33" s="209"/>
      <c r="X33" s="209"/>
      <c r="Y33" s="209"/>
      <c r="Z33" s="209"/>
      <c r="AA33" s="209"/>
      <c r="AB33" s="209"/>
      <c r="AC33" s="209"/>
      <c r="AD33" s="209"/>
      <c r="AE33" s="209"/>
      <c r="AF33" s="209"/>
      <c r="AG33" s="209"/>
      <c r="AH33" s="209"/>
      <c r="AI33" s="209"/>
      <c r="AJ33" s="209"/>
      <c r="AK33" s="209"/>
      <c r="AL33" s="209"/>
      <c r="AM33" s="209"/>
      <c r="AN33" s="209"/>
      <c r="AO33" s="209"/>
      <c r="AP33" s="209"/>
      <c r="AQ33" s="209"/>
      <c r="AR33" s="209"/>
      <c r="AS33" s="209"/>
      <c r="AT33" s="209"/>
      <c r="AU33" s="209"/>
      <c r="AV33" s="209"/>
      <c r="AW33" s="209"/>
      <c r="AX33" s="209"/>
      <c r="AY33" s="209"/>
      <c r="AZ33" s="209"/>
      <c r="BA33" s="209"/>
      <c r="BB33" s="209"/>
      <c r="BC33" s="209"/>
      <c r="BD33" s="209"/>
      <c r="BE33" s="209"/>
      <c r="BF33" s="209"/>
      <c r="BG33" s="209"/>
      <c r="BH33" s="209"/>
      <c r="BI33" s="209"/>
      <c r="BJ33" s="209"/>
      <c r="BK33" s="209"/>
      <c r="BL33" s="210"/>
      <c r="BM33" s="1"/>
      <c r="BN33" s="1"/>
      <c r="BO33" s="1"/>
      <c r="BP33" s="1"/>
      <c r="BQ33" s="1"/>
      <c r="BR33" s="1"/>
      <c r="BS33" s="1"/>
    </row>
    <row r="34" spans="1:71" ht="7.5" customHeight="1" x14ac:dyDescent="0.25">
      <c r="A34" s="151"/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  <c r="AA34" s="209"/>
      <c r="AB34" s="209"/>
      <c r="AC34" s="209"/>
      <c r="AD34" s="209"/>
      <c r="AE34" s="209"/>
      <c r="AF34" s="209"/>
      <c r="AG34" s="209"/>
      <c r="AH34" s="209"/>
      <c r="AI34" s="209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09"/>
      <c r="AX34" s="209"/>
      <c r="AY34" s="209"/>
      <c r="AZ34" s="209"/>
      <c r="BA34" s="209"/>
      <c r="BB34" s="209"/>
      <c r="BC34" s="209"/>
      <c r="BD34" s="209"/>
      <c r="BE34" s="209"/>
      <c r="BF34" s="209"/>
      <c r="BG34" s="209"/>
      <c r="BH34" s="209"/>
      <c r="BI34" s="209"/>
      <c r="BJ34" s="209"/>
      <c r="BK34" s="209"/>
      <c r="BL34" s="210"/>
      <c r="BM34" s="1"/>
      <c r="BN34" s="1"/>
      <c r="BO34" s="1"/>
      <c r="BP34" s="1"/>
      <c r="BQ34" s="1"/>
      <c r="BR34" s="1"/>
      <c r="BS34" s="1"/>
    </row>
    <row r="35" spans="1:71" ht="7.5" customHeight="1" x14ac:dyDescent="0.25">
      <c r="A35" s="23"/>
      <c r="B35" s="1"/>
      <c r="C35" s="1"/>
      <c r="D35" s="1"/>
      <c r="E35" s="1"/>
      <c r="F35" s="1"/>
      <c r="G35" s="1"/>
      <c r="H35" s="1"/>
      <c r="I35" s="1"/>
      <c r="J35" s="1"/>
      <c r="K35" s="1"/>
      <c r="L35" s="209"/>
      <c r="M35" s="209"/>
      <c r="N35" s="209"/>
      <c r="O35" s="209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  <c r="AA35" s="209"/>
      <c r="AB35" s="209"/>
      <c r="AC35" s="209"/>
      <c r="AD35" s="209"/>
      <c r="AE35" s="209"/>
      <c r="AF35" s="209"/>
      <c r="AG35" s="209"/>
      <c r="AH35" s="209"/>
      <c r="AI35" s="209"/>
      <c r="AJ35" s="209"/>
      <c r="AK35" s="209"/>
      <c r="AL35" s="209"/>
      <c r="AM35" s="209"/>
      <c r="AN35" s="209"/>
      <c r="AO35" s="209"/>
      <c r="AP35" s="209"/>
      <c r="AQ35" s="209"/>
      <c r="AR35" s="209"/>
      <c r="AS35" s="209"/>
      <c r="AT35" s="209"/>
      <c r="AU35" s="209"/>
      <c r="AV35" s="209"/>
      <c r="AW35" s="209"/>
      <c r="AX35" s="209"/>
      <c r="AY35" s="209"/>
      <c r="AZ35" s="209"/>
      <c r="BA35" s="209"/>
      <c r="BB35" s="209"/>
      <c r="BC35" s="209"/>
      <c r="BD35" s="209"/>
      <c r="BE35" s="209"/>
      <c r="BF35" s="209"/>
      <c r="BG35" s="209"/>
      <c r="BH35" s="209"/>
      <c r="BI35" s="209"/>
      <c r="BJ35" s="209"/>
      <c r="BK35" s="209"/>
      <c r="BL35" s="210"/>
      <c r="BM35" s="1"/>
      <c r="BN35" s="1"/>
      <c r="BO35" s="1"/>
      <c r="BP35" s="1"/>
      <c r="BQ35" s="1"/>
      <c r="BR35" s="1"/>
      <c r="BS35" s="1"/>
    </row>
    <row r="36" spans="1:71" ht="7.5" customHeight="1" x14ac:dyDescent="0.25">
      <c r="A36" s="23"/>
      <c r="B36" s="1"/>
      <c r="C36" s="1"/>
      <c r="D36" s="1"/>
      <c r="E36" s="1"/>
      <c r="F36" s="1"/>
      <c r="G36" s="1"/>
      <c r="H36" s="1"/>
      <c r="I36" s="1"/>
      <c r="J36" s="1"/>
      <c r="K36" s="1"/>
      <c r="L36" s="209"/>
      <c r="M36" s="209"/>
      <c r="N36" s="209"/>
      <c r="O36" s="209"/>
      <c r="P36" s="209"/>
      <c r="Q36" s="209"/>
      <c r="R36" s="209"/>
      <c r="S36" s="209"/>
      <c r="T36" s="209"/>
      <c r="U36" s="209"/>
      <c r="V36" s="209"/>
      <c r="W36" s="209"/>
      <c r="X36" s="209"/>
      <c r="Y36" s="209"/>
      <c r="Z36" s="209"/>
      <c r="AA36" s="209"/>
      <c r="AB36" s="209"/>
      <c r="AC36" s="209"/>
      <c r="AD36" s="209"/>
      <c r="AE36" s="209"/>
      <c r="AF36" s="209"/>
      <c r="AG36" s="209"/>
      <c r="AH36" s="209"/>
      <c r="AI36" s="209"/>
      <c r="AJ36" s="209"/>
      <c r="AK36" s="209"/>
      <c r="AL36" s="209"/>
      <c r="AM36" s="209"/>
      <c r="AN36" s="209"/>
      <c r="AO36" s="209"/>
      <c r="AP36" s="209"/>
      <c r="AQ36" s="209"/>
      <c r="AR36" s="209"/>
      <c r="AS36" s="209"/>
      <c r="AT36" s="209"/>
      <c r="AU36" s="209"/>
      <c r="AV36" s="209"/>
      <c r="AW36" s="209"/>
      <c r="AX36" s="209"/>
      <c r="AY36" s="209"/>
      <c r="AZ36" s="209"/>
      <c r="BA36" s="209"/>
      <c r="BB36" s="209"/>
      <c r="BC36" s="209"/>
      <c r="BD36" s="209"/>
      <c r="BE36" s="209"/>
      <c r="BF36" s="209"/>
      <c r="BG36" s="209"/>
      <c r="BH36" s="209"/>
      <c r="BI36" s="209"/>
      <c r="BJ36" s="209"/>
      <c r="BK36" s="209"/>
      <c r="BL36" s="210"/>
      <c r="BM36" s="1"/>
      <c r="BN36" s="1"/>
      <c r="BO36" s="1"/>
      <c r="BP36" s="1"/>
      <c r="BQ36" s="1"/>
      <c r="BR36" s="1"/>
      <c r="BS36" s="1"/>
    </row>
    <row r="37" spans="1:71" ht="7.5" customHeight="1" x14ac:dyDescent="0.25">
      <c r="A37" s="23"/>
      <c r="B37" s="1"/>
      <c r="C37" s="1"/>
      <c r="D37" s="1"/>
      <c r="E37" s="1"/>
      <c r="F37" s="1"/>
      <c r="G37" s="1"/>
      <c r="H37" s="1"/>
      <c r="I37" s="1"/>
      <c r="J37" s="1"/>
      <c r="K37" s="1"/>
      <c r="L37" s="209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09"/>
      <c r="AE37" s="209"/>
      <c r="AF37" s="209"/>
      <c r="AG37" s="209"/>
      <c r="AH37" s="209"/>
      <c r="AI37" s="209"/>
      <c r="AJ37" s="209"/>
      <c r="AK37" s="209"/>
      <c r="AL37" s="209"/>
      <c r="AM37" s="209"/>
      <c r="AN37" s="209"/>
      <c r="AO37" s="209"/>
      <c r="AP37" s="209"/>
      <c r="AQ37" s="209"/>
      <c r="AR37" s="209"/>
      <c r="AS37" s="209"/>
      <c r="AT37" s="209"/>
      <c r="AU37" s="209"/>
      <c r="AV37" s="209"/>
      <c r="AW37" s="209"/>
      <c r="AX37" s="209"/>
      <c r="AY37" s="209"/>
      <c r="AZ37" s="209"/>
      <c r="BA37" s="209"/>
      <c r="BB37" s="209"/>
      <c r="BC37" s="209"/>
      <c r="BD37" s="209"/>
      <c r="BE37" s="209"/>
      <c r="BF37" s="209"/>
      <c r="BG37" s="209"/>
      <c r="BH37" s="209"/>
      <c r="BI37" s="209"/>
      <c r="BJ37" s="209"/>
      <c r="BK37" s="209"/>
      <c r="BL37" s="210"/>
      <c r="BM37" s="1"/>
      <c r="BN37" s="1"/>
      <c r="BO37" s="1"/>
      <c r="BP37" s="1"/>
      <c r="BQ37" s="1"/>
      <c r="BR37" s="1"/>
      <c r="BS37" s="1"/>
    </row>
    <row r="38" spans="1:71" ht="7.5" customHeight="1" x14ac:dyDescent="0.25">
      <c r="A38" s="23"/>
      <c r="B38" s="1"/>
      <c r="C38" s="1"/>
      <c r="D38" s="1"/>
      <c r="E38" s="1"/>
      <c r="F38" s="1"/>
      <c r="G38" s="1"/>
      <c r="H38" s="1"/>
      <c r="I38" s="1"/>
      <c r="J38" s="1"/>
      <c r="K38" s="1"/>
      <c r="L38" s="209"/>
      <c r="M38" s="209"/>
      <c r="N38" s="209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  <c r="AA38" s="209"/>
      <c r="AB38" s="209"/>
      <c r="AC38" s="209"/>
      <c r="AD38" s="209"/>
      <c r="AE38" s="209"/>
      <c r="AF38" s="209"/>
      <c r="AG38" s="209"/>
      <c r="AH38" s="209"/>
      <c r="AI38" s="209"/>
      <c r="AJ38" s="209"/>
      <c r="AK38" s="209"/>
      <c r="AL38" s="209"/>
      <c r="AM38" s="209"/>
      <c r="AN38" s="209"/>
      <c r="AO38" s="209"/>
      <c r="AP38" s="209"/>
      <c r="AQ38" s="209"/>
      <c r="AR38" s="209"/>
      <c r="AS38" s="209"/>
      <c r="AT38" s="209"/>
      <c r="AU38" s="209"/>
      <c r="AV38" s="209"/>
      <c r="AW38" s="209"/>
      <c r="AX38" s="209"/>
      <c r="AY38" s="209"/>
      <c r="AZ38" s="209"/>
      <c r="BA38" s="209"/>
      <c r="BB38" s="209"/>
      <c r="BC38" s="209"/>
      <c r="BD38" s="209"/>
      <c r="BE38" s="209"/>
      <c r="BF38" s="209"/>
      <c r="BG38" s="209"/>
      <c r="BH38" s="209"/>
      <c r="BI38" s="209"/>
      <c r="BJ38" s="209"/>
      <c r="BK38" s="209"/>
      <c r="BL38" s="210"/>
      <c r="BM38" s="1"/>
      <c r="BN38" s="1"/>
      <c r="BO38" s="1"/>
      <c r="BP38" s="1"/>
      <c r="BQ38" s="1"/>
      <c r="BR38" s="1"/>
      <c r="BS38" s="1"/>
    </row>
    <row r="39" spans="1:71" ht="7.5" customHeight="1" x14ac:dyDescent="0.25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1"/>
      <c r="AP39" s="211"/>
      <c r="AQ39" s="211"/>
      <c r="AR39" s="211"/>
      <c r="AS39" s="211"/>
      <c r="AT39" s="211"/>
      <c r="AU39" s="211"/>
      <c r="AV39" s="211"/>
      <c r="AW39" s="211"/>
      <c r="AX39" s="211"/>
      <c r="AY39" s="211"/>
      <c r="AZ39" s="211"/>
      <c r="BA39" s="211"/>
      <c r="BB39" s="211"/>
      <c r="BC39" s="211"/>
      <c r="BD39" s="211"/>
      <c r="BE39" s="211"/>
      <c r="BF39" s="211"/>
      <c r="BG39" s="211"/>
      <c r="BH39" s="211"/>
      <c r="BI39" s="211"/>
      <c r="BJ39" s="211"/>
      <c r="BK39" s="211"/>
      <c r="BL39" s="212"/>
      <c r="BM39" s="1"/>
      <c r="BN39" s="1"/>
      <c r="BO39" s="1"/>
      <c r="BP39" s="1"/>
      <c r="BQ39" s="1"/>
      <c r="BR39" s="1"/>
      <c r="BS39" s="1"/>
    </row>
    <row r="40" spans="1:71" ht="7.5" customHeight="1" x14ac:dyDescent="0.25">
      <c r="A40" s="26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8"/>
      <c r="BM40" s="1"/>
      <c r="BN40" s="1"/>
      <c r="BO40" s="1"/>
      <c r="BP40" s="1"/>
      <c r="BQ40" s="1"/>
      <c r="BR40" s="1"/>
      <c r="BS40" s="1"/>
    </row>
    <row r="41" spans="1:71" ht="7.5" customHeight="1" x14ac:dyDescent="0.25">
      <c r="A41" s="213" t="s">
        <v>1243</v>
      </c>
      <c r="B41" s="214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5"/>
      <c r="P41" s="218" t="s">
        <v>1244</v>
      </c>
      <c r="Q41" s="214"/>
      <c r="R41" s="214"/>
      <c r="S41" s="214"/>
      <c r="T41" s="214"/>
      <c r="U41" s="214"/>
      <c r="V41" s="214"/>
      <c r="W41" s="214"/>
      <c r="X41" s="215"/>
      <c r="Y41" s="218" t="s">
        <v>1245</v>
      </c>
      <c r="Z41" s="214"/>
      <c r="AA41" s="214"/>
      <c r="AB41" s="214"/>
      <c r="AC41" s="214"/>
      <c r="AD41" s="214"/>
      <c r="AE41" s="214"/>
      <c r="AF41" s="214"/>
      <c r="AG41" s="215"/>
      <c r="AH41" s="219" t="s">
        <v>1246</v>
      </c>
      <c r="AI41" s="220"/>
      <c r="AJ41" s="220"/>
      <c r="AK41" s="220"/>
      <c r="AL41" s="220"/>
      <c r="AM41" s="220"/>
      <c r="AN41" s="220"/>
      <c r="AO41" s="220"/>
      <c r="AP41" s="220"/>
      <c r="AQ41" s="221"/>
      <c r="AR41" s="218" t="s">
        <v>1247</v>
      </c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  <c r="BJ41" s="214"/>
      <c r="BK41" s="214"/>
      <c r="BL41" s="222"/>
      <c r="BM41" s="1"/>
      <c r="BN41" s="1"/>
      <c r="BO41" s="1"/>
      <c r="BP41" s="1"/>
      <c r="BQ41" s="1"/>
      <c r="BR41" s="1"/>
      <c r="BS41" s="1"/>
    </row>
    <row r="42" spans="1:71" ht="7.5" customHeight="1" x14ac:dyDescent="0.25">
      <c r="A42" s="216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10"/>
      <c r="P42" s="108"/>
      <c r="Q42" s="109"/>
      <c r="R42" s="109"/>
      <c r="S42" s="109"/>
      <c r="T42" s="109"/>
      <c r="U42" s="109"/>
      <c r="V42" s="109"/>
      <c r="W42" s="109"/>
      <c r="X42" s="110"/>
      <c r="Y42" s="108"/>
      <c r="Z42" s="109"/>
      <c r="AA42" s="109"/>
      <c r="AB42" s="109"/>
      <c r="AC42" s="109"/>
      <c r="AD42" s="109"/>
      <c r="AE42" s="109"/>
      <c r="AF42" s="109"/>
      <c r="AG42" s="110"/>
      <c r="AH42" s="99"/>
      <c r="AI42" s="100"/>
      <c r="AJ42" s="100"/>
      <c r="AK42" s="100"/>
      <c r="AL42" s="100"/>
      <c r="AM42" s="100"/>
      <c r="AN42" s="100"/>
      <c r="AO42" s="100"/>
      <c r="AP42" s="100"/>
      <c r="AQ42" s="101"/>
      <c r="AR42" s="108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223"/>
      <c r="BM42" s="1"/>
      <c r="BN42" s="1"/>
      <c r="BO42" s="1"/>
      <c r="BP42" s="1"/>
      <c r="BQ42" s="1"/>
      <c r="BR42" s="1"/>
      <c r="BS42" s="1"/>
    </row>
    <row r="43" spans="1:71" ht="7.5" customHeight="1" x14ac:dyDescent="0.25">
      <c r="A43" s="216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10"/>
      <c r="P43" s="108"/>
      <c r="Q43" s="109"/>
      <c r="R43" s="109"/>
      <c r="S43" s="109"/>
      <c r="T43" s="109"/>
      <c r="U43" s="109"/>
      <c r="V43" s="109"/>
      <c r="W43" s="109"/>
      <c r="X43" s="110"/>
      <c r="Y43" s="108"/>
      <c r="Z43" s="109"/>
      <c r="AA43" s="109"/>
      <c r="AB43" s="109"/>
      <c r="AC43" s="109"/>
      <c r="AD43" s="109"/>
      <c r="AE43" s="109"/>
      <c r="AF43" s="109"/>
      <c r="AG43" s="110"/>
      <c r="AH43" s="99"/>
      <c r="AI43" s="100"/>
      <c r="AJ43" s="100"/>
      <c r="AK43" s="100"/>
      <c r="AL43" s="100"/>
      <c r="AM43" s="100"/>
      <c r="AN43" s="100"/>
      <c r="AO43" s="100"/>
      <c r="AP43" s="100"/>
      <c r="AQ43" s="101"/>
      <c r="AR43" s="108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223"/>
      <c r="BM43" s="1"/>
      <c r="BN43" s="1"/>
      <c r="BO43" s="1"/>
      <c r="BP43" s="1"/>
      <c r="BQ43" s="1"/>
      <c r="BR43" s="1"/>
      <c r="BS43" s="1"/>
    </row>
    <row r="44" spans="1:71" ht="7.5" customHeight="1" x14ac:dyDescent="0.25">
      <c r="A44" s="216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10"/>
      <c r="P44" s="108"/>
      <c r="Q44" s="109"/>
      <c r="R44" s="109"/>
      <c r="S44" s="109"/>
      <c r="T44" s="109"/>
      <c r="U44" s="109"/>
      <c r="V44" s="109"/>
      <c r="W44" s="109"/>
      <c r="X44" s="110"/>
      <c r="Y44" s="108"/>
      <c r="Z44" s="109"/>
      <c r="AA44" s="109"/>
      <c r="AB44" s="109"/>
      <c r="AC44" s="109"/>
      <c r="AD44" s="109"/>
      <c r="AE44" s="109"/>
      <c r="AF44" s="109"/>
      <c r="AG44" s="110"/>
      <c r="AH44" s="99"/>
      <c r="AI44" s="100"/>
      <c r="AJ44" s="100"/>
      <c r="AK44" s="100"/>
      <c r="AL44" s="100"/>
      <c r="AM44" s="100"/>
      <c r="AN44" s="100"/>
      <c r="AO44" s="100"/>
      <c r="AP44" s="100"/>
      <c r="AQ44" s="101"/>
      <c r="AR44" s="108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223"/>
      <c r="BM44" s="1"/>
      <c r="BN44" s="1"/>
      <c r="BO44" s="1"/>
      <c r="BP44" s="1"/>
      <c r="BQ44" s="1"/>
      <c r="BR44" s="1"/>
      <c r="BS44" s="1"/>
    </row>
    <row r="45" spans="1:71" ht="7.5" customHeight="1" x14ac:dyDescent="0.25">
      <c r="A45" s="216"/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10"/>
      <c r="P45" s="108"/>
      <c r="Q45" s="109"/>
      <c r="R45" s="109"/>
      <c r="S45" s="109"/>
      <c r="T45" s="109"/>
      <c r="U45" s="109"/>
      <c r="V45" s="109"/>
      <c r="W45" s="109"/>
      <c r="X45" s="110"/>
      <c r="Y45" s="108"/>
      <c r="Z45" s="109"/>
      <c r="AA45" s="109"/>
      <c r="AB45" s="109"/>
      <c r="AC45" s="109"/>
      <c r="AD45" s="109"/>
      <c r="AE45" s="109"/>
      <c r="AF45" s="109"/>
      <c r="AG45" s="110"/>
      <c r="AH45" s="159" t="s">
        <v>1248</v>
      </c>
      <c r="AI45" s="121"/>
      <c r="AJ45" s="121"/>
      <c r="AK45" s="121"/>
      <c r="AL45" s="121"/>
      <c r="AM45" s="121" t="s">
        <v>1249</v>
      </c>
      <c r="AN45" s="121"/>
      <c r="AO45" s="121"/>
      <c r="AP45" s="121"/>
      <c r="AQ45" s="122"/>
      <c r="AR45" s="108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223"/>
      <c r="BM45" s="1"/>
      <c r="BN45" s="1"/>
      <c r="BO45" s="1"/>
      <c r="BP45" s="1"/>
      <c r="BQ45" s="1"/>
      <c r="BR45" s="1"/>
      <c r="BS45" s="1"/>
    </row>
    <row r="46" spans="1:71" ht="7.5" customHeight="1" x14ac:dyDescent="0.25">
      <c r="A46" s="216"/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10"/>
      <c r="P46" s="108"/>
      <c r="Q46" s="109"/>
      <c r="R46" s="109"/>
      <c r="S46" s="109"/>
      <c r="T46" s="109"/>
      <c r="U46" s="109"/>
      <c r="V46" s="109"/>
      <c r="W46" s="109"/>
      <c r="X46" s="110"/>
      <c r="Y46" s="108"/>
      <c r="Z46" s="109"/>
      <c r="AA46" s="109"/>
      <c r="AB46" s="109"/>
      <c r="AC46" s="109"/>
      <c r="AD46" s="109"/>
      <c r="AE46" s="109"/>
      <c r="AF46" s="109"/>
      <c r="AG46" s="110"/>
      <c r="AH46" s="159"/>
      <c r="AI46" s="121"/>
      <c r="AJ46" s="121"/>
      <c r="AK46" s="121"/>
      <c r="AL46" s="121"/>
      <c r="AM46" s="121"/>
      <c r="AN46" s="121"/>
      <c r="AO46" s="121"/>
      <c r="AP46" s="121"/>
      <c r="AQ46" s="122"/>
      <c r="AR46" s="108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223"/>
      <c r="BM46" s="1"/>
      <c r="BN46" s="1"/>
      <c r="BO46" s="1"/>
      <c r="BP46" s="1"/>
      <c r="BQ46" s="1"/>
      <c r="BR46" s="1"/>
      <c r="BS46" s="1"/>
    </row>
    <row r="47" spans="1:71" ht="7.5" customHeight="1" x14ac:dyDescent="0.25">
      <c r="A47" s="216"/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10"/>
      <c r="P47" s="108"/>
      <c r="Q47" s="109"/>
      <c r="R47" s="109"/>
      <c r="S47" s="109"/>
      <c r="T47" s="109"/>
      <c r="U47" s="109"/>
      <c r="V47" s="109"/>
      <c r="W47" s="109"/>
      <c r="X47" s="110"/>
      <c r="Y47" s="108"/>
      <c r="Z47" s="109"/>
      <c r="AA47" s="109"/>
      <c r="AB47" s="109"/>
      <c r="AC47" s="109"/>
      <c r="AD47" s="109"/>
      <c r="AE47" s="109"/>
      <c r="AF47" s="109"/>
      <c r="AG47" s="110"/>
      <c r="AH47" s="159"/>
      <c r="AI47" s="121"/>
      <c r="AJ47" s="121"/>
      <c r="AK47" s="121"/>
      <c r="AL47" s="121"/>
      <c r="AM47" s="121"/>
      <c r="AN47" s="121"/>
      <c r="AO47" s="121"/>
      <c r="AP47" s="121"/>
      <c r="AQ47" s="122"/>
      <c r="AR47" s="108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223"/>
      <c r="BM47" s="1"/>
      <c r="BN47" s="1"/>
      <c r="BO47" s="1"/>
      <c r="BP47" s="1"/>
      <c r="BQ47" s="1"/>
      <c r="BR47" s="1"/>
      <c r="BS47" s="1"/>
    </row>
    <row r="48" spans="1:71" ht="7.5" customHeight="1" x14ac:dyDescent="0.25">
      <c r="A48" s="217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3"/>
      <c r="P48" s="111"/>
      <c r="Q48" s="112"/>
      <c r="R48" s="112"/>
      <c r="S48" s="112"/>
      <c r="T48" s="112"/>
      <c r="U48" s="112"/>
      <c r="V48" s="112"/>
      <c r="W48" s="112"/>
      <c r="X48" s="113"/>
      <c r="Y48" s="111"/>
      <c r="Z48" s="112"/>
      <c r="AA48" s="112"/>
      <c r="AB48" s="112"/>
      <c r="AC48" s="112"/>
      <c r="AD48" s="112"/>
      <c r="AE48" s="112"/>
      <c r="AF48" s="112"/>
      <c r="AG48" s="113"/>
      <c r="AH48" s="161"/>
      <c r="AI48" s="124"/>
      <c r="AJ48" s="124"/>
      <c r="AK48" s="124"/>
      <c r="AL48" s="124"/>
      <c r="AM48" s="124"/>
      <c r="AN48" s="124"/>
      <c r="AO48" s="124"/>
      <c r="AP48" s="124"/>
      <c r="AQ48" s="125"/>
      <c r="AR48" s="111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  <c r="BL48" s="224"/>
      <c r="BM48" s="1"/>
      <c r="BN48" s="1"/>
      <c r="BO48" s="1"/>
      <c r="BP48" s="1"/>
      <c r="BQ48" s="1"/>
      <c r="BR48" s="1"/>
      <c r="BS48" s="1"/>
    </row>
    <row r="49" spans="1:105" ht="7.5" customHeight="1" x14ac:dyDescent="0.25">
      <c r="A49" s="176" t="s">
        <v>1250</v>
      </c>
      <c r="B49" s="177"/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8"/>
      <c r="P49" s="185" t="s">
        <v>352</v>
      </c>
      <c r="Q49" s="186"/>
      <c r="R49" s="186"/>
      <c r="S49" s="186"/>
      <c r="T49" s="186"/>
      <c r="U49" s="186"/>
      <c r="V49" s="186"/>
      <c r="W49" s="186"/>
      <c r="X49" s="187"/>
      <c r="Y49" s="194" t="s">
        <v>1251</v>
      </c>
      <c r="Z49" s="177"/>
      <c r="AA49" s="177"/>
      <c r="AB49" s="177"/>
      <c r="AC49" s="177"/>
      <c r="AD49" s="177"/>
      <c r="AE49" s="177"/>
      <c r="AF49" s="177"/>
      <c r="AG49" s="178"/>
      <c r="AH49" s="29"/>
      <c r="AI49" s="30"/>
      <c r="AJ49" s="30"/>
      <c r="AK49" s="30"/>
      <c r="AL49" s="31"/>
      <c r="AM49" s="29"/>
      <c r="AN49" s="30"/>
      <c r="AO49" s="30"/>
      <c r="AP49" s="30"/>
      <c r="AQ49" s="31"/>
      <c r="AR49" s="197" t="s">
        <v>1363</v>
      </c>
      <c r="AS49" s="198"/>
      <c r="AT49" s="198"/>
      <c r="AU49" s="198"/>
      <c r="AV49" s="198"/>
      <c r="AW49" s="198"/>
      <c r="AX49" s="198"/>
      <c r="AY49" s="198"/>
      <c r="AZ49" s="198"/>
      <c r="BA49" s="198"/>
      <c r="BB49" s="198"/>
      <c r="BC49" s="198"/>
      <c r="BD49" s="198"/>
      <c r="BE49" s="198"/>
      <c r="BF49" s="198"/>
      <c r="BG49" s="198"/>
      <c r="BH49" s="198"/>
      <c r="BI49" s="198"/>
      <c r="BJ49" s="198"/>
      <c r="BK49" s="198"/>
      <c r="BL49" s="199"/>
      <c r="BM49" s="1"/>
      <c r="BN49" s="1"/>
      <c r="BO49" s="1"/>
      <c r="BP49" s="1"/>
      <c r="BQ49" s="1"/>
      <c r="BR49" s="1"/>
      <c r="BS49" s="1"/>
    </row>
    <row r="50" spans="1:105" ht="7.5" customHeight="1" x14ac:dyDescent="0.25">
      <c r="A50" s="179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1"/>
      <c r="P50" s="188"/>
      <c r="Q50" s="189"/>
      <c r="R50" s="189"/>
      <c r="S50" s="189"/>
      <c r="T50" s="189"/>
      <c r="U50" s="189"/>
      <c r="V50" s="189"/>
      <c r="W50" s="189"/>
      <c r="X50" s="190"/>
      <c r="Y50" s="195"/>
      <c r="Z50" s="180"/>
      <c r="AA50" s="180"/>
      <c r="AB50" s="180"/>
      <c r="AC50" s="180"/>
      <c r="AD50" s="180"/>
      <c r="AE50" s="180"/>
      <c r="AF50" s="180"/>
      <c r="AG50" s="181"/>
      <c r="AH50" s="32"/>
      <c r="AI50" s="201" t="s">
        <v>1280</v>
      </c>
      <c r="AJ50" s="201"/>
      <c r="AK50" s="201"/>
      <c r="AL50" s="33"/>
      <c r="AM50" s="32"/>
      <c r="AN50" s="206" t="s">
        <v>1362</v>
      </c>
      <c r="AO50" s="206"/>
      <c r="AP50" s="206"/>
      <c r="AQ50" s="33"/>
      <c r="AR50" s="200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2"/>
      <c r="BM50" s="1"/>
      <c r="BN50" s="1"/>
      <c r="BO50" s="1"/>
      <c r="BP50" s="1"/>
      <c r="BQ50" s="1"/>
      <c r="BR50" s="1"/>
      <c r="BS50" s="1"/>
    </row>
    <row r="51" spans="1:105" ht="7.5" customHeight="1" x14ac:dyDescent="0.25">
      <c r="A51" s="179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1"/>
      <c r="P51" s="188"/>
      <c r="Q51" s="189"/>
      <c r="R51" s="189"/>
      <c r="S51" s="189"/>
      <c r="T51" s="189"/>
      <c r="U51" s="189"/>
      <c r="V51" s="189"/>
      <c r="W51" s="189"/>
      <c r="X51" s="190"/>
      <c r="Y51" s="195"/>
      <c r="Z51" s="180"/>
      <c r="AA51" s="180"/>
      <c r="AB51" s="180"/>
      <c r="AC51" s="180"/>
      <c r="AD51" s="180"/>
      <c r="AE51" s="180"/>
      <c r="AF51" s="180"/>
      <c r="AG51" s="181"/>
      <c r="AH51" s="32"/>
      <c r="AI51" s="201"/>
      <c r="AJ51" s="201"/>
      <c r="AK51" s="201"/>
      <c r="AL51" s="33"/>
      <c r="AM51" s="32"/>
      <c r="AN51" s="206"/>
      <c r="AO51" s="206"/>
      <c r="AP51" s="206"/>
      <c r="AQ51" s="33"/>
      <c r="AR51" s="200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2"/>
      <c r="BM51" s="1"/>
      <c r="BN51" s="1"/>
      <c r="BO51" s="1" t="s">
        <v>1217</v>
      </c>
      <c r="BP51" s="1"/>
      <c r="BQ51" s="1"/>
      <c r="BR51" s="1"/>
      <c r="BS51" s="1"/>
    </row>
    <row r="52" spans="1:105" ht="7.5" customHeight="1" x14ac:dyDescent="0.25">
      <c r="A52" s="179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1"/>
      <c r="P52" s="188"/>
      <c r="Q52" s="189"/>
      <c r="R52" s="189"/>
      <c r="S52" s="189"/>
      <c r="T52" s="189"/>
      <c r="U52" s="189"/>
      <c r="V52" s="189"/>
      <c r="W52" s="189"/>
      <c r="X52" s="190"/>
      <c r="Y52" s="195"/>
      <c r="Z52" s="180"/>
      <c r="AA52" s="180"/>
      <c r="AB52" s="180"/>
      <c r="AC52" s="180"/>
      <c r="AD52" s="180"/>
      <c r="AE52" s="180"/>
      <c r="AF52" s="180"/>
      <c r="AG52" s="181"/>
      <c r="AH52" s="32"/>
      <c r="AI52" s="34"/>
      <c r="AJ52" s="34"/>
      <c r="AK52" s="34"/>
      <c r="AL52" s="33"/>
      <c r="AM52" s="32"/>
      <c r="AN52" s="34"/>
      <c r="AO52" s="34"/>
      <c r="AP52" s="34"/>
      <c r="AQ52" s="33"/>
      <c r="AR52" s="200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2"/>
      <c r="BM52" s="1"/>
      <c r="BN52" s="1"/>
      <c r="BO52" s="1"/>
      <c r="BP52" s="1"/>
      <c r="BQ52" s="1"/>
      <c r="BR52" s="1"/>
      <c r="BS52" s="1"/>
    </row>
    <row r="53" spans="1:105" ht="7.5" customHeight="1" x14ac:dyDescent="0.25">
      <c r="A53" s="182"/>
      <c r="B53" s="183"/>
      <c r="C53" s="183"/>
      <c r="D53" s="183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4"/>
      <c r="P53" s="191"/>
      <c r="Q53" s="192"/>
      <c r="R53" s="192"/>
      <c r="S53" s="192"/>
      <c r="T53" s="192"/>
      <c r="U53" s="192"/>
      <c r="V53" s="192"/>
      <c r="W53" s="192"/>
      <c r="X53" s="193"/>
      <c r="Y53" s="196"/>
      <c r="Z53" s="183"/>
      <c r="AA53" s="183"/>
      <c r="AB53" s="183"/>
      <c r="AC53" s="183"/>
      <c r="AD53" s="183"/>
      <c r="AE53" s="183"/>
      <c r="AF53" s="183"/>
      <c r="AG53" s="184"/>
      <c r="AH53" s="35"/>
      <c r="AI53" s="36"/>
      <c r="AJ53" s="36"/>
      <c r="AK53" s="36"/>
      <c r="AL53" s="37"/>
      <c r="AM53" s="35"/>
      <c r="AN53" s="36"/>
      <c r="AO53" s="36"/>
      <c r="AP53" s="36"/>
      <c r="AQ53" s="37"/>
      <c r="AR53" s="203"/>
      <c r="AS53" s="204"/>
      <c r="AT53" s="204"/>
      <c r="AU53" s="204"/>
      <c r="AV53" s="204"/>
      <c r="AW53" s="204"/>
      <c r="AX53" s="204"/>
      <c r="AY53" s="204"/>
      <c r="AZ53" s="204"/>
      <c r="BA53" s="204"/>
      <c r="BB53" s="204"/>
      <c r="BC53" s="204"/>
      <c r="BD53" s="204"/>
      <c r="BE53" s="204"/>
      <c r="BF53" s="204"/>
      <c r="BG53" s="204"/>
      <c r="BH53" s="204"/>
      <c r="BI53" s="204"/>
      <c r="BJ53" s="204"/>
      <c r="BK53" s="204"/>
      <c r="BL53" s="205"/>
      <c r="BM53" s="1"/>
      <c r="BN53" s="1"/>
      <c r="BO53" s="1"/>
      <c r="BP53" s="1"/>
      <c r="BQ53" s="1"/>
      <c r="BR53" s="1"/>
      <c r="BS53" s="1"/>
    </row>
    <row r="54" spans="1:105" ht="7.5" customHeight="1" x14ac:dyDescent="0.25">
      <c r="A54" s="176" t="s">
        <v>1252</v>
      </c>
      <c r="B54" s="177"/>
      <c r="C54" s="177"/>
      <c r="D54" s="177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8"/>
      <c r="P54" s="185" t="s">
        <v>352</v>
      </c>
      <c r="Q54" s="186"/>
      <c r="R54" s="186"/>
      <c r="S54" s="186"/>
      <c r="T54" s="186"/>
      <c r="U54" s="186"/>
      <c r="V54" s="186"/>
      <c r="W54" s="186"/>
      <c r="X54" s="187"/>
      <c r="Y54" s="194" t="s">
        <v>1251</v>
      </c>
      <c r="Z54" s="177"/>
      <c r="AA54" s="177"/>
      <c r="AB54" s="177"/>
      <c r="AC54" s="177"/>
      <c r="AD54" s="177"/>
      <c r="AE54" s="177"/>
      <c r="AF54" s="177"/>
      <c r="AG54" s="178"/>
      <c r="AH54" s="29"/>
      <c r="AI54" s="30"/>
      <c r="AJ54" s="30"/>
      <c r="AK54" s="30"/>
      <c r="AL54" s="31"/>
      <c r="AM54" s="29"/>
      <c r="AN54" s="30"/>
      <c r="AO54" s="30"/>
      <c r="AP54" s="30"/>
      <c r="AQ54" s="31"/>
      <c r="AR54" s="197" t="s">
        <v>1363</v>
      </c>
      <c r="AS54" s="198"/>
      <c r="AT54" s="198"/>
      <c r="AU54" s="198"/>
      <c r="AV54" s="198"/>
      <c r="AW54" s="198"/>
      <c r="AX54" s="198"/>
      <c r="AY54" s="198"/>
      <c r="AZ54" s="198"/>
      <c r="BA54" s="198"/>
      <c r="BB54" s="198"/>
      <c r="BC54" s="198"/>
      <c r="BD54" s="198"/>
      <c r="BE54" s="198"/>
      <c r="BF54" s="198"/>
      <c r="BG54" s="198"/>
      <c r="BH54" s="198"/>
      <c r="BI54" s="198"/>
      <c r="BJ54" s="198"/>
      <c r="BK54" s="198"/>
      <c r="BL54" s="199"/>
      <c r="BM54" s="1"/>
      <c r="BN54" s="1"/>
      <c r="BO54" s="1"/>
      <c r="BP54" s="1"/>
      <c r="BQ54" s="1"/>
      <c r="BR54" s="1"/>
      <c r="BS54" s="1"/>
    </row>
    <row r="55" spans="1:105" ht="7.5" customHeight="1" x14ac:dyDescent="0.25">
      <c r="A55" s="179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1"/>
      <c r="P55" s="188"/>
      <c r="Q55" s="189"/>
      <c r="R55" s="189"/>
      <c r="S55" s="189"/>
      <c r="T55" s="189"/>
      <c r="U55" s="189"/>
      <c r="V55" s="189"/>
      <c r="W55" s="189"/>
      <c r="X55" s="190"/>
      <c r="Y55" s="195"/>
      <c r="Z55" s="180"/>
      <c r="AA55" s="180"/>
      <c r="AB55" s="180"/>
      <c r="AC55" s="180"/>
      <c r="AD55" s="180"/>
      <c r="AE55" s="180"/>
      <c r="AF55" s="180"/>
      <c r="AG55" s="181"/>
      <c r="AH55" s="32"/>
      <c r="AI55" s="201" t="s">
        <v>1280</v>
      </c>
      <c r="AJ55" s="201"/>
      <c r="AK55" s="201"/>
      <c r="AL55" s="33"/>
      <c r="AM55" s="32"/>
      <c r="AN55" s="206" t="s">
        <v>1362</v>
      </c>
      <c r="AO55" s="206"/>
      <c r="AP55" s="206"/>
      <c r="AQ55" s="33"/>
      <c r="AR55" s="200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2"/>
      <c r="BM55" s="1"/>
      <c r="BN55" s="1"/>
      <c r="BO55" s="1" t="s">
        <v>1217</v>
      </c>
      <c r="BP55" s="1"/>
      <c r="BQ55" s="1"/>
      <c r="BR55" s="1"/>
      <c r="BS55" s="1"/>
      <c r="CG55" s="464"/>
      <c r="CH55" s="464"/>
      <c r="CI55" s="464"/>
      <c r="CJ55" s="464"/>
      <c r="CK55" s="464"/>
      <c r="CL55" s="464"/>
      <c r="CM55" s="464"/>
      <c r="CN55" s="464"/>
      <c r="CO55" s="464"/>
      <c r="CP55" s="464"/>
      <c r="CQ55" s="464"/>
      <c r="CR55" s="464"/>
      <c r="CS55" s="464"/>
      <c r="CT55" s="464"/>
      <c r="CU55" s="464"/>
    </row>
    <row r="56" spans="1:105" ht="7.5" customHeight="1" x14ac:dyDescent="0.25">
      <c r="A56" s="179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1"/>
      <c r="P56" s="188"/>
      <c r="Q56" s="189"/>
      <c r="R56" s="189"/>
      <c r="S56" s="189"/>
      <c r="T56" s="189"/>
      <c r="U56" s="189"/>
      <c r="V56" s="189"/>
      <c r="W56" s="189"/>
      <c r="X56" s="190"/>
      <c r="Y56" s="195"/>
      <c r="Z56" s="180"/>
      <c r="AA56" s="180"/>
      <c r="AB56" s="180"/>
      <c r="AC56" s="180"/>
      <c r="AD56" s="180"/>
      <c r="AE56" s="180"/>
      <c r="AF56" s="180"/>
      <c r="AG56" s="181"/>
      <c r="AH56" s="32"/>
      <c r="AI56" s="201"/>
      <c r="AJ56" s="201"/>
      <c r="AK56" s="201"/>
      <c r="AL56" s="33"/>
      <c r="AM56" s="32"/>
      <c r="AN56" s="206"/>
      <c r="AO56" s="206"/>
      <c r="AP56" s="206"/>
      <c r="AQ56" s="33"/>
      <c r="AR56" s="200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2"/>
      <c r="BM56" s="1"/>
      <c r="BN56" s="1"/>
      <c r="BO56" s="1"/>
      <c r="BP56" s="1"/>
      <c r="BQ56" s="1"/>
      <c r="BR56" s="1"/>
      <c r="BS56" s="1"/>
      <c r="CG56" s="464"/>
      <c r="CH56" s="464"/>
      <c r="CI56" s="464"/>
      <c r="CJ56" s="464"/>
      <c r="CK56" s="464"/>
      <c r="CL56" s="464"/>
      <c r="CM56" s="464"/>
      <c r="CN56" s="464"/>
      <c r="CO56" s="464"/>
      <c r="CP56" s="464"/>
      <c r="CQ56" s="464"/>
      <c r="CR56" s="464"/>
      <c r="CS56" s="464"/>
      <c r="CT56" s="464"/>
      <c r="CU56" s="464"/>
      <c r="CV56" s="85"/>
      <c r="CW56" s="85"/>
      <c r="CX56" s="85"/>
      <c r="CY56" s="85"/>
      <c r="CZ56" s="85"/>
      <c r="DA56" s="85"/>
    </row>
    <row r="57" spans="1:105" ht="7.5" customHeight="1" x14ac:dyDescent="0.25">
      <c r="A57" s="179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80"/>
      <c r="O57" s="181"/>
      <c r="P57" s="188"/>
      <c r="Q57" s="189"/>
      <c r="R57" s="189"/>
      <c r="S57" s="189"/>
      <c r="T57" s="189"/>
      <c r="U57" s="189"/>
      <c r="V57" s="189"/>
      <c r="W57" s="189"/>
      <c r="X57" s="190"/>
      <c r="Y57" s="195"/>
      <c r="Z57" s="180"/>
      <c r="AA57" s="180"/>
      <c r="AB57" s="180"/>
      <c r="AC57" s="180"/>
      <c r="AD57" s="180"/>
      <c r="AE57" s="180"/>
      <c r="AF57" s="180"/>
      <c r="AG57" s="181"/>
      <c r="AH57" s="32"/>
      <c r="AI57" s="34"/>
      <c r="AJ57" s="34"/>
      <c r="AK57" s="34"/>
      <c r="AL57" s="33"/>
      <c r="AM57" s="32"/>
      <c r="AN57" s="34"/>
      <c r="AO57" s="34"/>
      <c r="AP57" s="34"/>
      <c r="AQ57" s="33"/>
      <c r="AR57" s="200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2"/>
      <c r="BM57" s="1"/>
      <c r="BN57" s="1"/>
      <c r="BO57" s="1"/>
      <c r="BP57" s="1"/>
      <c r="BQ57" s="1"/>
      <c r="BR57" s="1"/>
      <c r="BS57" s="1"/>
      <c r="CG57" s="464"/>
      <c r="CH57" s="464"/>
      <c r="CI57" s="464"/>
      <c r="CJ57" s="464"/>
      <c r="CK57" s="464"/>
      <c r="CL57" s="464"/>
      <c r="CM57" s="464"/>
      <c r="CN57" s="464"/>
      <c r="CO57" s="464"/>
      <c r="CP57" s="464"/>
      <c r="CQ57" s="464"/>
      <c r="CR57" s="464"/>
      <c r="CS57" s="464"/>
      <c r="CT57" s="464"/>
      <c r="CU57" s="464"/>
      <c r="CV57" s="85"/>
      <c r="CW57" s="85"/>
      <c r="CX57" s="85"/>
      <c r="CY57" s="85"/>
      <c r="CZ57" s="85"/>
      <c r="DA57" s="85"/>
    </row>
    <row r="58" spans="1:105" ht="7.5" customHeight="1" x14ac:dyDescent="0.25">
      <c r="A58" s="182"/>
      <c r="B58" s="183"/>
      <c r="C58" s="183"/>
      <c r="D58" s="183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4"/>
      <c r="P58" s="191"/>
      <c r="Q58" s="192"/>
      <c r="R58" s="192"/>
      <c r="S58" s="192"/>
      <c r="T58" s="192"/>
      <c r="U58" s="192"/>
      <c r="V58" s="192"/>
      <c r="W58" s="192"/>
      <c r="X58" s="193"/>
      <c r="Y58" s="196"/>
      <c r="Z58" s="183"/>
      <c r="AA58" s="183"/>
      <c r="AB58" s="183"/>
      <c r="AC58" s="183"/>
      <c r="AD58" s="183"/>
      <c r="AE58" s="183"/>
      <c r="AF58" s="183"/>
      <c r="AG58" s="184"/>
      <c r="AH58" s="35"/>
      <c r="AI58" s="36"/>
      <c r="AJ58" s="36"/>
      <c r="AK58" s="36"/>
      <c r="AL58" s="37"/>
      <c r="AM58" s="35"/>
      <c r="AN58" s="36"/>
      <c r="AO58" s="36"/>
      <c r="AP58" s="36"/>
      <c r="AQ58" s="37"/>
      <c r="AR58" s="203"/>
      <c r="AS58" s="204"/>
      <c r="AT58" s="204"/>
      <c r="AU58" s="204"/>
      <c r="AV58" s="204"/>
      <c r="AW58" s="204"/>
      <c r="AX58" s="204"/>
      <c r="AY58" s="204"/>
      <c r="AZ58" s="204"/>
      <c r="BA58" s="204"/>
      <c r="BB58" s="204"/>
      <c r="BC58" s="204"/>
      <c r="BD58" s="204"/>
      <c r="BE58" s="204"/>
      <c r="BF58" s="204"/>
      <c r="BG58" s="204"/>
      <c r="BH58" s="204"/>
      <c r="BI58" s="204"/>
      <c r="BJ58" s="204"/>
      <c r="BK58" s="204"/>
      <c r="BL58" s="205"/>
      <c r="BM58" s="1"/>
      <c r="BN58" s="1"/>
      <c r="BO58" s="1"/>
      <c r="BP58" s="1"/>
      <c r="BQ58" s="1"/>
      <c r="BR58" s="1"/>
      <c r="BS58" s="1"/>
      <c r="CG58" s="464"/>
      <c r="CH58" s="464"/>
      <c r="CI58" s="464"/>
      <c r="CJ58" s="464"/>
      <c r="CK58" s="464"/>
      <c r="CL58" s="464"/>
      <c r="CM58" s="464"/>
      <c r="CN58" s="464"/>
      <c r="CO58" s="464"/>
      <c r="CP58" s="464"/>
      <c r="CQ58" s="464"/>
      <c r="CR58" s="464"/>
      <c r="CS58" s="464"/>
      <c r="CT58" s="464"/>
      <c r="CU58" s="464"/>
      <c r="CV58" s="85"/>
      <c r="CW58" s="85"/>
      <c r="CX58" s="85"/>
      <c r="CY58" s="85"/>
      <c r="CZ58" s="85"/>
      <c r="DA58" s="85"/>
    </row>
    <row r="59" spans="1:105" ht="7.5" customHeight="1" x14ac:dyDescent="0.25">
      <c r="A59" s="176" t="s">
        <v>1253</v>
      </c>
      <c r="B59" s="177"/>
      <c r="C59" s="177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8"/>
      <c r="P59" s="185" t="s">
        <v>352</v>
      </c>
      <c r="Q59" s="186"/>
      <c r="R59" s="186"/>
      <c r="S59" s="186"/>
      <c r="T59" s="186"/>
      <c r="U59" s="186"/>
      <c r="V59" s="186"/>
      <c r="W59" s="186"/>
      <c r="X59" s="187"/>
      <c r="Y59" s="194" t="s">
        <v>1251</v>
      </c>
      <c r="Z59" s="177"/>
      <c r="AA59" s="177"/>
      <c r="AB59" s="177"/>
      <c r="AC59" s="177"/>
      <c r="AD59" s="177"/>
      <c r="AE59" s="177"/>
      <c r="AF59" s="177"/>
      <c r="AG59" s="178"/>
      <c r="AH59" s="29"/>
      <c r="AI59" s="30"/>
      <c r="AJ59" s="30"/>
      <c r="AK59" s="30"/>
      <c r="AL59" s="31"/>
      <c r="AM59" s="29"/>
      <c r="AN59" s="30"/>
      <c r="AO59" s="30"/>
      <c r="AP59" s="30"/>
      <c r="AQ59" s="31"/>
      <c r="AR59" s="197" t="s">
        <v>1363</v>
      </c>
      <c r="AS59" s="198"/>
      <c r="AT59" s="198"/>
      <c r="AU59" s="198"/>
      <c r="AV59" s="198"/>
      <c r="AW59" s="198"/>
      <c r="AX59" s="198"/>
      <c r="AY59" s="198"/>
      <c r="AZ59" s="198"/>
      <c r="BA59" s="198"/>
      <c r="BB59" s="198"/>
      <c r="BC59" s="198"/>
      <c r="BD59" s="198"/>
      <c r="BE59" s="198"/>
      <c r="BF59" s="198"/>
      <c r="BG59" s="198"/>
      <c r="BH59" s="198"/>
      <c r="BI59" s="198"/>
      <c r="BJ59" s="198"/>
      <c r="BK59" s="198"/>
      <c r="BL59" s="199"/>
      <c r="BM59" s="1"/>
      <c r="BN59" s="1"/>
      <c r="BO59" s="1"/>
      <c r="BP59" s="1"/>
      <c r="BQ59" s="1"/>
      <c r="BR59" s="1"/>
      <c r="BS59" s="1"/>
      <c r="CG59" s="464"/>
      <c r="CH59" s="464"/>
      <c r="CI59" s="464"/>
      <c r="CJ59" s="464"/>
      <c r="CK59" s="464"/>
      <c r="CL59" s="464"/>
      <c r="CM59" s="464"/>
      <c r="CN59" s="464"/>
      <c r="CO59" s="464"/>
      <c r="CP59" s="464"/>
      <c r="CQ59" s="464"/>
      <c r="CR59" s="464"/>
      <c r="CS59" s="464"/>
      <c r="CT59" s="464"/>
      <c r="CU59" s="464"/>
      <c r="CV59" s="85"/>
      <c r="CW59" s="85"/>
      <c r="CX59" s="85"/>
      <c r="CY59" s="85"/>
      <c r="CZ59" s="85"/>
      <c r="DA59" s="85"/>
    </row>
    <row r="60" spans="1:105" ht="7.5" customHeight="1" x14ac:dyDescent="0.25">
      <c r="A60" s="179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1"/>
      <c r="P60" s="188"/>
      <c r="Q60" s="189"/>
      <c r="R60" s="189"/>
      <c r="S60" s="189"/>
      <c r="T60" s="189"/>
      <c r="U60" s="189"/>
      <c r="V60" s="189"/>
      <c r="W60" s="189"/>
      <c r="X60" s="190"/>
      <c r="Y60" s="195"/>
      <c r="Z60" s="180"/>
      <c r="AA60" s="180"/>
      <c r="AB60" s="180"/>
      <c r="AC60" s="180"/>
      <c r="AD60" s="180"/>
      <c r="AE60" s="180"/>
      <c r="AF60" s="180"/>
      <c r="AG60" s="181"/>
      <c r="AH60" s="32"/>
      <c r="AI60" s="201" t="s">
        <v>1280</v>
      </c>
      <c r="AJ60" s="201"/>
      <c r="AK60" s="201"/>
      <c r="AL60" s="33"/>
      <c r="AM60" s="32"/>
      <c r="AN60" s="206" t="s">
        <v>1362</v>
      </c>
      <c r="AO60" s="206"/>
      <c r="AP60" s="206"/>
      <c r="AQ60" s="33"/>
      <c r="AR60" s="200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2"/>
      <c r="BM60" s="1"/>
      <c r="BN60" s="1"/>
      <c r="BO60" s="1" t="s">
        <v>1217</v>
      </c>
      <c r="BP60" s="1"/>
      <c r="BQ60" s="1"/>
      <c r="BR60" s="1"/>
      <c r="BS60" s="1"/>
      <c r="CG60" s="464"/>
      <c r="CH60" s="464"/>
      <c r="CI60" s="464"/>
      <c r="CJ60" s="464"/>
      <c r="CK60" s="464"/>
      <c r="CL60" s="464"/>
      <c r="CM60" s="464"/>
      <c r="CN60" s="464"/>
      <c r="CO60" s="464"/>
      <c r="CP60" s="464"/>
      <c r="CQ60" s="464"/>
      <c r="CR60" s="464"/>
      <c r="CS60" s="464"/>
      <c r="CT60" s="464"/>
      <c r="CU60" s="464"/>
      <c r="CV60" s="85"/>
      <c r="CW60" s="85"/>
      <c r="CX60" s="85"/>
      <c r="CY60" s="85"/>
      <c r="CZ60" s="85"/>
      <c r="DA60" s="85"/>
    </row>
    <row r="61" spans="1:105" ht="7.5" customHeight="1" x14ac:dyDescent="0.25">
      <c r="A61" s="179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1"/>
      <c r="P61" s="188"/>
      <c r="Q61" s="189"/>
      <c r="R61" s="189"/>
      <c r="S61" s="189"/>
      <c r="T61" s="189"/>
      <c r="U61" s="189"/>
      <c r="V61" s="189"/>
      <c r="W61" s="189"/>
      <c r="X61" s="190"/>
      <c r="Y61" s="195"/>
      <c r="Z61" s="180"/>
      <c r="AA61" s="180"/>
      <c r="AB61" s="180"/>
      <c r="AC61" s="180"/>
      <c r="AD61" s="180"/>
      <c r="AE61" s="180"/>
      <c r="AF61" s="180"/>
      <c r="AG61" s="181"/>
      <c r="AH61" s="32"/>
      <c r="AI61" s="201"/>
      <c r="AJ61" s="201"/>
      <c r="AK61" s="201"/>
      <c r="AL61" s="33"/>
      <c r="AM61" s="32"/>
      <c r="AN61" s="206"/>
      <c r="AO61" s="206"/>
      <c r="AP61" s="206"/>
      <c r="AQ61" s="33"/>
      <c r="AR61" s="200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2"/>
      <c r="BM61" s="1"/>
      <c r="BN61" s="1"/>
      <c r="BO61" s="1"/>
      <c r="BP61" s="1"/>
      <c r="BQ61" s="1"/>
      <c r="BR61" s="1"/>
      <c r="BS61" s="1"/>
      <c r="CG61" s="464"/>
      <c r="CH61" s="464"/>
      <c r="CI61" s="464"/>
      <c r="CJ61" s="464"/>
      <c r="CK61" s="464"/>
      <c r="CL61" s="464"/>
      <c r="CM61" s="464"/>
      <c r="CN61" s="464"/>
      <c r="CO61" s="464"/>
      <c r="CP61" s="464"/>
      <c r="CQ61" s="464"/>
      <c r="CR61" s="464"/>
      <c r="CS61" s="464"/>
      <c r="CT61" s="464"/>
      <c r="CU61" s="464"/>
      <c r="CV61" s="85"/>
      <c r="CW61" s="85"/>
      <c r="CX61" s="85"/>
      <c r="CY61" s="85"/>
      <c r="CZ61" s="85"/>
      <c r="DA61" s="85"/>
    </row>
    <row r="62" spans="1:105" ht="7.5" customHeight="1" x14ac:dyDescent="0.25">
      <c r="A62" s="179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1"/>
      <c r="P62" s="188"/>
      <c r="Q62" s="189"/>
      <c r="R62" s="189"/>
      <c r="S62" s="189"/>
      <c r="T62" s="189"/>
      <c r="U62" s="189"/>
      <c r="V62" s="189"/>
      <c r="W62" s="189"/>
      <c r="X62" s="190"/>
      <c r="Y62" s="195"/>
      <c r="Z62" s="180"/>
      <c r="AA62" s="180"/>
      <c r="AB62" s="180"/>
      <c r="AC62" s="180"/>
      <c r="AD62" s="180"/>
      <c r="AE62" s="180"/>
      <c r="AF62" s="180"/>
      <c r="AG62" s="181"/>
      <c r="AH62" s="32"/>
      <c r="AI62" s="34"/>
      <c r="AJ62" s="34"/>
      <c r="AK62" s="34"/>
      <c r="AL62" s="33"/>
      <c r="AM62" s="32"/>
      <c r="AN62" s="34"/>
      <c r="AO62" s="34"/>
      <c r="AP62" s="34"/>
      <c r="AQ62" s="33"/>
      <c r="AR62" s="200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2"/>
      <c r="BM62" s="1"/>
      <c r="BN62" s="1"/>
      <c r="BO62" s="1"/>
      <c r="BP62" s="1"/>
      <c r="BQ62" s="1"/>
      <c r="BR62" s="1"/>
      <c r="BS62" s="1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5"/>
      <c r="CZ62" s="85"/>
      <c r="DA62" s="85"/>
    </row>
    <row r="63" spans="1:105" ht="7.5" customHeight="1" x14ac:dyDescent="0.25">
      <c r="A63" s="182"/>
      <c r="B63" s="183"/>
      <c r="C63" s="183"/>
      <c r="D63" s="183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4"/>
      <c r="P63" s="191"/>
      <c r="Q63" s="192"/>
      <c r="R63" s="192"/>
      <c r="S63" s="192"/>
      <c r="T63" s="192"/>
      <c r="U63" s="192"/>
      <c r="V63" s="192"/>
      <c r="W63" s="192"/>
      <c r="X63" s="193"/>
      <c r="Y63" s="196"/>
      <c r="Z63" s="183"/>
      <c r="AA63" s="183"/>
      <c r="AB63" s="183"/>
      <c r="AC63" s="183"/>
      <c r="AD63" s="183"/>
      <c r="AE63" s="183"/>
      <c r="AF63" s="183"/>
      <c r="AG63" s="184"/>
      <c r="AH63" s="35"/>
      <c r="AI63" s="36"/>
      <c r="AJ63" s="36"/>
      <c r="AK63" s="36"/>
      <c r="AL63" s="37"/>
      <c r="AM63" s="35"/>
      <c r="AN63" s="36"/>
      <c r="AO63" s="36"/>
      <c r="AP63" s="36"/>
      <c r="AQ63" s="37"/>
      <c r="AR63" s="203"/>
      <c r="AS63" s="204"/>
      <c r="AT63" s="204"/>
      <c r="AU63" s="204"/>
      <c r="AV63" s="204"/>
      <c r="AW63" s="204"/>
      <c r="AX63" s="204"/>
      <c r="AY63" s="204"/>
      <c r="AZ63" s="204"/>
      <c r="BA63" s="204"/>
      <c r="BB63" s="204"/>
      <c r="BC63" s="204"/>
      <c r="BD63" s="204"/>
      <c r="BE63" s="204"/>
      <c r="BF63" s="204"/>
      <c r="BG63" s="204"/>
      <c r="BH63" s="204"/>
      <c r="BI63" s="204"/>
      <c r="BJ63" s="204"/>
      <c r="BK63" s="204"/>
      <c r="BL63" s="205"/>
      <c r="BM63" s="1"/>
      <c r="BN63" s="1"/>
      <c r="BO63" s="1"/>
      <c r="BP63" s="1"/>
      <c r="BQ63" s="1"/>
      <c r="BR63" s="1"/>
      <c r="BS63" s="1"/>
      <c r="CH63" s="85"/>
      <c r="CI63" s="85"/>
      <c r="CJ63" s="85"/>
      <c r="CK63" s="85"/>
      <c r="CL63" s="85"/>
      <c r="CM63" s="85"/>
      <c r="CN63" s="85"/>
      <c r="CO63" s="85"/>
      <c r="CP63" s="85"/>
      <c r="CQ63" s="85"/>
      <c r="CR63" s="85"/>
      <c r="CS63" s="85"/>
      <c r="CT63" s="85"/>
      <c r="CU63" s="85"/>
      <c r="CV63" s="85"/>
      <c r="CW63" s="85"/>
      <c r="CX63" s="85"/>
      <c r="CY63" s="85"/>
      <c r="CZ63" s="85"/>
      <c r="DA63" s="85"/>
    </row>
    <row r="64" spans="1:105" ht="7.5" customHeight="1" x14ac:dyDescent="0.25">
      <c r="A64" s="176" t="s">
        <v>1254</v>
      </c>
      <c r="B64" s="177"/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8"/>
      <c r="P64" s="185" t="s">
        <v>352</v>
      </c>
      <c r="Q64" s="186"/>
      <c r="R64" s="186"/>
      <c r="S64" s="186"/>
      <c r="T64" s="186"/>
      <c r="U64" s="186"/>
      <c r="V64" s="186"/>
      <c r="W64" s="186"/>
      <c r="X64" s="187"/>
      <c r="Y64" s="194" t="s">
        <v>1251</v>
      </c>
      <c r="Z64" s="177"/>
      <c r="AA64" s="177"/>
      <c r="AB64" s="177"/>
      <c r="AC64" s="177"/>
      <c r="AD64" s="177"/>
      <c r="AE64" s="177"/>
      <c r="AF64" s="177"/>
      <c r="AG64" s="178"/>
      <c r="AH64" s="29"/>
      <c r="AI64" s="30"/>
      <c r="AJ64" s="30"/>
      <c r="AK64" s="30"/>
      <c r="AL64" s="31"/>
      <c r="AM64" s="29"/>
      <c r="AN64" s="30"/>
      <c r="AO64" s="30"/>
      <c r="AP64" s="30"/>
      <c r="AQ64" s="31"/>
      <c r="AR64" s="197" t="s">
        <v>1363</v>
      </c>
      <c r="AS64" s="198"/>
      <c r="AT64" s="198"/>
      <c r="AU64" s="198"/>
      <c r="AV64" s="198"/>
      <c r="AW64" s="198"/>
      <c r="AX64" s="198"/>
      <c r="AY64" s="198"/>
      <c r="AZ64" s="198"/>
      <c r="BA64" s="198"/>
      <c r="BB64" s="198"/>
      <c r="BC64" s="198"/>
      <c r="BD64" s="198"/>
      <c r="BE64" s="198"/>
      <c r="BF64" s="198"/>
      <c r="BG64" s="198"/>
      <c r="BH64" s="198"/>
      <c r="BI64" s="198"/>
      <c r="BJ64" s="198"/>
      <c r="BK64" s="198"/>
      <c r="BL64" s="199"/>
      <c r="BM64" s="1"/>
      <c r="BN64" s="1"/>
      <c r="BO64" s="1"/>
      <c r="BP64" s="1"/>
      <c r="BQ64" s="1"/>
      <c r="BR64" s="1"/>
      <c r="BS64" s="1"/>
      <c r="CH64" s="85"/>
      <c r="CI64" s="85"/>
      <c r="CJ64" s="85"/>
      <c r="CK64" s="85"/>
      <c r="CL64" s="85"/>
      <c r="CM64" s="85"/>
      <c r="CN64" s="85"/>
      <c r="CO64" s="85"/>
      <c r="CP64" s="85"/>
      <c r="CQ64" s="85"/>
      <c r="CR64" s="85"/>
      <c r="CS64" s="85"/>
      <c r="CT64" s="85"/>
      <c r="CU64" s="85"/>
      <c r="CV64" s="85"/>
      <c r="CW64" s="85"/>
      <c r="CX64" s="85"/>
      <c r="CY64" s="85"/>
      <c r="CZ64" s="85"/>
      <c r="DA64" s="85"/>
    </row>
    <row r="65" spans="1:105" ht="7.5" customHeight="1" x14ac:dyDescent="0.25">
      <c r="A65" s="179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1"/>
      <c r="P65" s="188"/>
      <c r="Q65" s="189"/>
      <c r="R65" s="189"/>
      <c r="S65" s="189"/>
      <c r="T65" s="189"/>
      <c r="U65" s="189"/>
      <c r="V65" s="189"/>
      <c r="W65" s="189"/>
      <c r="X65" s="190"/>
      <c r="Y65" s="195"/>
      <c r="Z65" s="180"/>
      <c r="AA65" s="180"/>
      <c r="AB65" s="180"/>
      <c r="AC65" s="180"/>
      <c r="AD65" s="180"/>
      <c r="AE65" s="180"/>
      <c r="AF65" s="180"/>
      <c r="AG65" s="181"/>
      <c r="AH65" s="32"/>
      <c r="AI65" s="201" t="s">
        <v>1280</v>
      </c>
      <c r="AJ65" s="201"/>
      <c r="AK65" s="201"/>
      <c r="AL65" s="33"/>
      <c r="AM65" s="32"/>
      <c r="AN65" s="206" t="s">
        <v>1362</v>
      </c>
      <c r="AO65" s="206"/>
      <c r="AP65" s="206"/>
      <c r="AQ65" s="33"/>
      <c r="AR65" s="200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2"/>
      <c r="BM65" s="1"/>
      <c r="BN65" s="1"/>
      <c r="BO65" s="1" t="s">
        <v>1217</v>
      </c>
      <c r="BP65" s="1"/>
      <c r="BQ65" s="1"/>
      <c r="BR65" s="1"/>
      <c r="BS65" s="1"/>
      <c r="CH65" s="85"/>
      <c r="CI65" s="85"/>
      <c r="CJ65" s="85"/>
      <c r="CK65" s="85"/>
      <c r="CL65" s="85"/>
      <c r="CM65" s="85"/>
      <c r="CN65" s="85"/>
      <c r="CO65" s="85"/>
      <c r="CP65" s="85"/>
      <c r="CQ65" s="85"/>
      <c r="CR65" s="85"/>
      <c r="CS65" s="85"/>
      <c r="CT65" s="85"/>
      <c r="CU65" s="85"/>
      <c r="CV65" s="85"/>
      <c r="CW65" s="85"/>
      <c r="CX65" s="85"/>
      <c r="CY65" s="85"/>
      <c r="CZ65" s="85"/>
      <c r="DA65" s="85"/>
    </row>
    <row r="66" spans="1:105" ht="7.5" customHeight="1" x14ac:dyDescent="0.25">
      <c r="A66" s="179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1"/>
      <c r="P66" s="188"/>
      <c r="Q66" s="189"/>
      <c r="R66" s="189"/>
      <c r="S66" s="189"/>
      <c r="T66" s="189"/>
      <c r="U66" s="189"/>
      <c r="V66" s="189"/>
      <c r="W66" s="189"/>
      <c r="X66" s="190"/>
      <c r="Y66" s="195"/>
      <c r="Z66" s="180"/>
      <c r="AA66" s="180"/>
      <c r="AB66" s="180"/>
      <c r="AC66" s="180"/>
      <c r="AD66" s="180"/>
      <c r="AE66" s="180"/>
      <c r="AF66" s="180"/>
      <c r="AG66" s="181"/>
      <c r="AH66" s="32"/>
      <c r="AI66" s="201"/>
      <c r="AJ66" s="201"/>
      <c r="AK66" s="201"/>
      <c r="AL66" s="33"/>
      <c r="AM66" s="32"/>
      <c r="AN66" s="206"/>
      <c r="AO66" s="206"/>
      <c r="AP66" s="206"/>
      <c r="AQ66" s="33"/>
      <c r="AR66" s="200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2"/>
      <c r="BM66" s="1"/>
      <c r="BN66" s="1"/>
      <c r="BO66" s="1"/>
      <c r="BP66" s="1"/>
      <c r="BQ66" s="1"/>
      <c r="BR66" s="1"/>
      <c r="BS66" s="1"/>
      <c r="CH66" s="85"/>
      <c r="CI66" s="85"/>
      <c r="CJ66" s="85"/>
      <c r="CK66" s="85"/>
      <c r="CL66" s="85"/>
      <c r="CM66" s="85"/>
      <c r="CN66" s="85"/>
      <c r="CO66" s="85"/>
      <c r="CP66" s="85"/>
      <c r="CQ66" s="85"/>
      <c r="CR66" s="85"/>
      <c r="CS66" s="85"/>
      <c r="CT66" s="85"/>
      <c r="CU66" s="85"/>
      <c r="CV66" s="85"/>
      <c r="CW66" s="85"/>
      <c r="CX66" s="85"/>
      <c r="CY66" s="85"/>
      <c r="CZ66" s="85"/>
      <c r="DA66" s="85"/>
    </row>
    <row r="67" spans="1:105" ht="7.5" customHeight="1" x14ac:dyDescent="0.25">
      <c r="A67" s="179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P67" s="188"/>
      <c r="Q67" s="189"/>
      <c r="R67" s="189"/>
      <c r="S67" s="189"/>
      <c r="T67" s="189"/>
      <c r="U67" s="189"/>
      <c r="V67" s="189"/>
      <c r="W67" s="189"/>
      <c r="X67" s="190"/>
      <c r="Y67" s="195"/>
      <c r="Z67" s="180"/>
      <c r="AA67" s="180"/>
      <c r="AB67" s="180"/>
      <c r="AC67" s="180"/>
      <c r="AD67" s="180"/>
      <c r="AE67" s="180"/>
      <c r="AF67" s="180"/>
      <c r="AG67" s="181"/>
      <c r="AH67" s="32"/>
      <c r="AI67" s="34"/>
      <c r="AJ67" s="34"/>
      <c r="AK67" s="34"/>
      <c r="AL67" s="33"/>
      <c r="AM67" s="32"/>
      <c r="AN67" s="34"/>
      <c r="AO67" s="34"/>
      <c r="AP67" s="34"/>
      <c r="AQ67" s="33"/>
      <c r="AR67" s="200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2"/>
      <c r="BM67" s="1"/>
      <c r="BN67" s="1"/>
      <c r="BO67" s="1"/>
      <c r="BP67" s="1"/>
      <c r="BQ67" s="1"/>
      <c r="BR67" s="1"/>
      <c r="BS67" s="1"/>
      <c r="CH67" s="85"/>
      <c r="CI67" s="85"/>
      <c r="CJ67" s="85"/>
      <c r="CK67" s="85"/>
      <c r="CL67" s="85"/>
      <c r="CM67" s="85"/>
      <c r="CN67" s="85"/>
      <c r="CO67" s="85"/>
      <c r="CP67" s="85"/>
      <c r="CQ67" s="85"/>
      <c r="CR67" s="85"/>
      <c r="CS67" s="85"/>
      <c r="CT67" s="85"/>
      <c r="CU67" s="85"/>
      <c r="CV67" s="85"/>
      <c r="CW67" s="85"/>
      <c r="CX67" s="85"/>
      <c r="CY67" s="85"/>
      <c r="CZ67" s="85"/>
      <c r="DA67" s="85"/>
    </row>
    <row r="68" spans="1:105" ht="7.5" customHeight="1" x14ac:dyDescent="0.25">
      <c r="A68" s="182"/>
      <c r="B68" s="183"/>
      <c r="C68" s="183"/>
      <c r="D68" s="183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4"/>
      <c r="P68" s="191"/>
      <c r="Q68" s="192"/>
      <c r="R68" s="192"/>
      <c r="S68" s="192"/>
      <c r="T68" s="192"/>
      <c r="U68" s="192"/>
      <c r="V68" s="192"/>
      <c r="W68" s="192"/>
      <c r="X68" s="193"/>
      <c r="Y68" s="196"/>
      <c r="Z68" s="183"/>
      <c r="AA68" s="183"/>
      <c r="AB68" s="183"/>
      <c r="AC68" s="183"/>
      <c r="AD68" s="183"/>
      <c r="AE68" s="183"/>
      <c r="AF68" s="183"/>
      <c r="AG68" s="184"/>
      <c r="AH68" s="35"/>
      <c r="AI68" s="36"/>
      <c r="AJ68" s="36"/>
      <c r="AK68" s="36"/>
      <c r="AL68" s="37"/>
      <c r="AM68" s="35"/>
      <c r="AN68" s="36"/>
      <c r="AO68" s="36"/>
      <c r="AP68" s="36"/>
      <c r="AQ68" s="37"/>
      <c r="AR68" s="203"/>
      <c r="AS68" s="204"/>
      <c r="AT68" s="204"/>
      <c r="AU68" s="204"/>
      <c r="AV68" s="204"/>
      <c r="AW68" s="204"/>
      <c r="AX68" s="204"/>
      <c r="AY68" s="204"/>
      <c r="AZ68" s="204"/>
      <c r="BA68" s="204"/>
      <c r="BB68" s="204"/>
      <c r="BC68" s="204"/>
      <c r="BD68" s="204"/>
      <c r="BE68" s="204"/>
      <c r="BF68" s="204"/>
      <c r="BG68" s="204"/>
      <c r="BH68" s="204"/>
      <c r="BI68" s="204"/>
      <c r="BJ68" s="204"/>
      <c r="BK68" s="204"/>
      <c r="BL68" s="205"/>
      <c r="BM68" s="1"/>
      <c r="BN68" s="1"/>
      <c r="BO68" s="1"/>
      <c r="BP68" s="1"/>
      <c r="BQ68" s="1"/>
      <c r="BR68" s="1"/>
      <c r="BS68" s="1"/>
      <c r="CH68" s="85"/>
      <c r="CI68" s="85"/>
      <c r="CJ68" s="85"/>
      <c r="CK68" s="85"/>
      <c r="CL68" s="85"/>
      <c r="CM68" s="85"/>
      <c r="CN68" s="85"/>
      <c r="CO68" s="85"/>
      <c r="CP68" s="85"/>
      <c r="CQ68" s="85"/>
      <c r="CR68" s="85"/>
      <c r="CS68" s="85"/>
      <c r="CT68" s="85"/>
      <c r="CU68" s="85"/>
      <c r="CV68" s="85"/>
      <c r="CW68" s="85"/>
      <c r="CX68" s="85"/>
      <c r="CY68" s="85"/>
      <c r="CZ68" s="85"/>
      <c r="DA68" s="85"/>
    </row>
    <row r="69" spans="1:105" ht="7.5" customHeight="1" x14ac:dyDescent="0.25">
      <c r="A69" s="176" t="s">
        <v>1217</v>
      </c>
      <c r="B69" s="177"/>
      <c r="C69" s="177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8"/>
      <c r="P69" s="194" t="s">
        <v>1217</v>
      </c>
      <c r="Q69" s="177"/>
      <c r="R69" s="177"/>
      <c r="S69" s="177"/>
      <c r="T69" s="177"/>
      <c r="U69" s="177"/>
      <c r="V69" s="177"/>
      <c r="W69" s="177"/>
      <c r="X69" s="178"/>
      <c r="Y69" s="194" t="s">
        <v>1217</v>
      </c>
      <c r="Z69" s="177"/>
      <c r="AA69" s="177"/>
      <c r="AB69" s="177"/>
      <c r="AC69" s="177"/>
      <c r="AD69" s="177"/>
      <c r="AE69" s="177"/>
      <c r="AF69" s="177"/>
      <c r="AG69" s="178"/>
      <c r="AH69" s="29"/>
      <c r="AI69" s="30"/>
      <c r="AJ69" s="30"/>
      <c r="AK69" s="30"/>
      <c r="AL69" s="31"/>
      <c r="AM69" s="29"/>
      <c r="AN69" s="30"/>
      <c r="AO69" s="30"/>
      <c r="AP69" s="30"/>
      <c r="AQ69" s="31"/>
      <c r="AR69" s="194" t="s">
        <v>1217</v>
      </c>
      <c r="AS69" s="177"/>
      <c r="AT69" s="177"/>
      <c r="AU69" s="177"/>
      <c r="AV69" s="177"/>
      <c r="AW69" s="177"/>
      <c r="AX69" s="177"/>
      <c r="AY69" s="177"/>
      <c r="AZ69" s="177"/>
      <c r="BA69" s="177"/>
      <c r="BB69" s="177"/>
      <c r="BC69" s="177"/>
      <c r="BD69" s="177"/>
      <c r="BE69" s="177"/>
      <c r="BF69" s="177"/>
      <c r="BG69" s="177"/>
      <c r="BH69" s="177"/>
      <c r="BI69" s="177"/>
      <c r="BJ69" s="177"/>
      <c r="BK69" s="177"/>
      <c r="BL69" s="225"/>
      <c r="BM69" s="1"/>
      <c r="BN69" s="1"/>
      <c r="BO69" s="1"/>
      <c r="BP69" s="1"/>
      <c r="BQ69" s="1"/>
      <c r="BR69" s="1"/>
      <c r="BS69" s="1"/>
    </row>
    <row r="70" spans="1:105" ht="7.5" customHeight="1" x14ac:dyDescent="0.25">
      <c r="A70" s="179"/>
      <c r="B70" s="180"/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  <c r="N70" s="180"/>
      <c r="O70" s="181"/>
      <c r="P70" s="195"/>
      <c r="Q70" s="180"/>
      <c r="R70" s="180"/>
      <c r="S70" s="180"/>
      <c r="T70" s="180"/>
      <c r="U70" s="180"/>
      <c r="V70" s="180"/>
      <c r="W70" s="180"/>
      <c r="X70" s="181"/>
      <c r="Y70" s="195"/>
      <c r="Z70" s="180"/>
      <c r="AA70" s="180"/>
      <c r="AB70" s="180"/>
      <c r="AC70" s="180"/>
      <c r="AD70" s="180"/>
      <c r="AE70" s="180"/>
      <c r="AF70" s="180"/>
      <c r="AG70" s="181"/>
      <c r="AH70" s="32"/>
      <c r="AI70" s="180" t="str">
        <f>IF(BO71="YES","X"," ")</f>
        <v xml:space="preserve"> </v>
      </c>
      <c r="AJ70" s="180"/>
      <c r="AK70" s="180"/>
      <c r="AL70" s="33"/>
      <c r="AM70" s="32"/>
      <c r="AN70" s="180" t="str">
        <f>IF(BO71="NO","X"," ")</f>
        <v xml:space="preserve"> </v>
      </c>
      <c r="AO70" s="180"/>
      <c r="AP70" s="180"/>
      <c r="AQ70" s="33"/>
      <c r="AR70" s="195"/>
      <c r="AS70" s="180"/>
      <c r="AT70" s="180"/>
      <c r="AU70" s="180"/>
      <c r="AV70" s="180"/>
      <c r="AW70" s="180"/>
      <c r="AX70" s="180"/>
      <c r="AY70" s="180"/>
      <c r="AZ70" s="180"/>
      <c r="BA70" s="180"/>
      <c r="BB70" s="180"/>
      <c r="BC70" s="180"/>
      <c r="BD70" s="180"/>
      <c r="BE70" s="180"/>
      <c r="BF70" s="180"/>
      <c r="BG70" s="180"/>
      <c r="BH70" s="180"/>
      <c r="BI70" s="180"/>
      <c r="BJ70" s="180"/>
      <c r="BK70" s="180"/>
      <c r="BL70" s="226"/>
      <c r="BM70" s="1"/>
      <c r="BN70" s="1"/>
      <c r="BO70" s="1"/>
      <c r="BP70" s="1"/>
      <c r="BQ70" s="1"/>
      <c r="BR70" s="1"/>
      <c r="BS70" s="1"/>
    </row>
    <row r="71" spans="1:105" ht="7.5" customHeight="1" x14ac:dyDescent="0.25">
      <c r="A71" s="179"/>
      <c r="B71" s="180"/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  <c r="N71" s="180"/>
      <c r="O71" s="181"/>
      <c r="P71" s="195"/>
      <c r="Q71" s="180"/>
      <c r="R71" s="180"/>
      <c r="S71" s="180"/>
      <c r="T71" s="180"/>
      <c r="U71" s="180"/>
      <c r="V71" s="180"/>
      <c r="W71" s="180"/>
      <c r="X71" s="181"/>
      <c r="Y71" s="195"/>
      <c r="Z71" s="180"/>
      <c r="AA71" s="180"/>
      <c r="AB71" s="180"/>
      <c r="AC71" s="180"/>
      <c r="AD71" s="180"/>
      <c r="AE71" s="180"/>
      <c r="AF71" s="180"/>
      <c r="AG71" s="181"/>
      <c r="AH71" s="32"/>
      <c r="AI71" s="180"/>
      <c r="AJ71" s="180"/>
      <c r="AK71" s="180"/>
      <c r="AL71" s="33"/>
      <c r="AM71" s="32"/>
      <c r="AN71" s="180"/>
      <c r="AO71" s="180"/>
      <c r="AP71" s="180"/>
      <c r="AQ71" s="33"/>
      <c r="AR71" s="195"/>
      <c r="AS71" s="180"/>
      <c r="AT71" s="180"/>
      <c r="AU71" s="180"/>
      <c r="AV71" s="180"/>
      <c r="AW71" s="180"/>
      <c r="AX71" s="180"/>
      <c r="AY71" s="180"/>
      <c r="AZ71" s="180"/>
      <c r="BA71" s="180"/>
      <c r="BB71" s="180"/>
      <c r="BC71" s="180"/>
      <c r="BD71" s="180"/>
      <c r="BE71" s="180"/>
      <c r="BF71" s="180"/>
      <c r="BG71" s="180"/>
      <c r="BH71" s="180"/>
      <c r="BI71" s="180"/>
      <c r="BJ71" s="180"/>
      <c r="BK71" s="180"/>
      <c r="BL71" s="226"/>
      <c r="BM71" s="1"/>
      <c r="BN71" s="1"/>
      <c r="BO71" s="1" t="s">
        <v>1217</v>
      </c>
      <c r="BP71" s="1"/>
      <c r="BQ71" s="1"/>
      <c r="BR71" s="1"/>
      <c r="BS71" s="1"/>
    </row>
    <row r="72" spans="1:105" ht="7.5" customHeight="1" x14ac:dyDescent="0.25">
      <c r="A72" s="179"/>
      <c r="B72" s="180"/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  <c r="N72" s="180"/>
      <c r="O72" s="181"/>
      <c r="P72" s="195"/>
      <c r="Q72" s="180"/>
      <c r="R72" s="180"/>
      <c r="S72" s="180"/>
      <c r="T72" s="180"/>
      <c r="U72" s="180"/>
      <c r="V72" s="180"/>
      <c r="W72" s="180"/>
      <c r="X72" s="181"/>
      <c r="Y72" s="195"/>
      <c r="Z72" s="180"/>
      <c r="AA72" s="180"/>
      <c r="AB72" s="180"/>
      <c r="AC72" s="180"/>
      <c r="AD72" s="180"/>
      <c r="AE72" s="180"/>
      <c r="AF72" s="180"/>
      <c r="AG72" s="181"/>
      <c r="AH72" s="32"/>
      <c r="AI72" s="34"/>
      <c r="AJ72" s="34"/>
      <c r="AK72" s="34"/>
      <c r="AL72" s="33"/>
      <c r="AM72" s="32"/>
      <c r="AN72" s="34"/>
      <c r="AO72" s="34"/>
      <c r="AP72" s="34"/>
      <c r="AQ72" s="33"/>
      <c r="AR72" s="195"/>
      <c r="AS72" s="180"/>
      <c r="AT72" s="180"/>
      <c r="AU72" s="180"/>
      <c r="AV72" s="180"/>
      <c r="AW72" s="180"/>
      <c r="AX72" s="180"/>
      <c r="AY72" s="180"/>
      <c r="AZ72" s="180"/>
      <c r="BA72" s="180"/>
      <c r="BB72" s="180"/>
      <c r="BC72" s="180"/>
      <c r="BD72" s="180"/>
      <c r="BE72" s="180"/>
      <c r="BF72" s="180"/>
      <c r="BG72" s="180"/>
      <c r="BH72" s="180"/>
      <c r="BI72" s="180"/>
      <c r="BJ72" s="180"/>
      <c r="BK72" s="180"/>
      <c r="BL72" s="226"/>
      <c r="BM72" s="1"/>
      <c r="BN72" s="1"/>
      <c r="BO72" s="1"/>
      <c r="BP72" s="1"/>
      <c r="BQ72" s="1"/>
      <c r="BR72" s="1"/>
      <c r="BS72" s="1"/>
    </row>
    <row r="73" spans="1:105" ht="7.5" customHeight="1" x14ac:dyDescent="0.25">
      <c r="A73" s="182"/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4"/>
      <c r="P73" s="196"/>
      <c r="Q73" s="183"/>
      <c r="R73" s="183"/>
      <c r="S73" s="183"/>
      <c r="T73" s="183"/>
      <c r="U73" s="183"/>
      <c r="V73" s="183"/>
      <c r="W73" s="183"/>
      <c r="X73" s="184"/>
      <c r="Y73" s="196"/>
      <c r="Z73" s="183"/>
      <c r="AA73" s="183"/>
      <c r="AB73" s="183"/>
      <c r="AC73" s="183"/>
      <c r="AD73" s="183"/>
      <c r="AE73" s="183"/>
      <c r="AF73" s="183"/>
      <c r="AG73" s="184"/>
      <c r="AH73" s="35"/>
      <c r="AI73" s="36"/>
      <c r="AJ73" s="36"/>
      <c r="AK73" s="36"/>
      <c r="AL73" s="37"/>
      <c r="AM73" s="35"/>
      <c r="AN73" s="36"/>
      <c r="AO73" s="36"/>
      <c r="AP73" s="36"/>
      <c r="AQ73" s="37"/>
      <c r="AR73" s="196"/>
      <c r="AS73" s="183"/>
      <c r="AT73" s="183"/>
      <c r="AU73" s="183"/>
      <c r="AV73" s="183"/>
      <c r="AW73" s="183"/>
      <c r="AX73" s="183"/>
      <c r="AY73" s="183"/>
      <c r="AZ73" s="183"/>
      <c r="BA73" s="183"/>
      <c r="BB73" s="183"/>
      <c r="BC73" s="183"/>
      <c r="BD73" s="183"/>
      <c r="BE73" s="183"/>
      <c r="BF73" s="183"/>
      <c r="BG73" s="183"/>
      <c r="BH73" s="183"/>
      <c r="BI73" s="183"/>
      <c r="BJ73" s="183"/>
      <c r="BK73" s="183"/>
      <c r="BL73" s="227"/>
      <c r="BM73" s="1"/>
      <c r="BN73" s="1"/>
      <c r="BO73" s="1"/>
      <c r="BP73" s="1"/>
      <c r="BQ73" s="1"/>
      <c r="BR73" s="1"/>
      <c r="BS73" s="1"/>
    </row>
    <row r="74" spans="1:105" ht="7.5" customHeight="1" x14ac:dyDescent="0.25">
      <c r="A74" s="176" t="s">
        <v>1217</v>
      </c>
      <c r="B74" s="177"/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8"/>
      <c r="P74" s="194" t="s">
        <v>1217</v>
      </c>
      <c r="Q74" s="177"/>
      <c r="R74" s="177"/>
      <c r="S74" s="177"/>
      <c r="T74" s="177"/>
      <c r="U74" s="177"/>
      <c r="V74" s="177"/>
      <c r="W74" s="177"/>
      <c r="X74" s="178"/>
      <c r="Y74" s="194" t="s">
        <v>1217</v>
      </c>
      <c r="Z74" s="177"/>
      <c r="AA74" s="177"/>
      <c r="AB74" s="177"/>
      <c r="AC74" s="177"/>
      <c r="AD74" s="177"/>
      <c r="AE74" s="177"/>
      <c r="AF74" s="177"/>
      <c r="AG74" s="178"/>
      <c r="AH74" s="29"/>
      <c r="AI74" s="30"/>
      <c r="AJ74" s="30"/>
      <c r="AK74" s="30"/>
      <c r="AL74" s="31"/>
      <c r="AM74" s="29"/>
      <c r="AN74" s="30"/>
      <c r="AO74" s="30"/>
      <c r="AP74" s="30"/>
      <c r="AQ74" s="31"/>
      <c r="AR74" s="194" t="s">
        <v>1217</v>
      </c>
      <c r="AS74" s="177"/>
      <c r="AT74" s="177"/>
      <c r="AU74" s="177"/>
      <c r="AV74" s="177"/>
      <c r="AW74" s="177"/>
      <c r="AX74" s="177"/>
      <c r="AY74" s="177"/>
      <c r="AZ74" s="177"/>
      <c r="BA74" s="177"/>
      <c r="BB74" s="177"/>
      <c r="BC74" s="177"/>
      <c r="BD74" s="177"/>
      <c r="BE74" s="177"/>
      <c r="BF74" s="177"/>
      <c r="BG74" s="177"/>
      <c r="BH74" s="177"/>
      <c r="BI74" s="177"/>
      <c r="BJ74" s="177"/>
      <c r="BK74" s="177"/>
      <c r="BL74" s="225"/>
      <c r="BM74" s="1"/>
      <c r="BN74" s="1"/>
      <c r="BO74" s="1"/>
      <c r="BP74" s="1"/>
      <c r="BQ74" s="1"/>
      <c r="BR74" s="1"/>
      <c r="BS74" s="1"/>
    </row>
    <row r="75" spans="1:105" ht="7.5" customHeight="1" x14ac:dyDescent="0.25">
      <c r="A75" s="179"/>
      <c r="B75" s="180"/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  <c r="N75" s="180"/>
      <c r="O75" s="181"/>
      <c r="P75" s="195"/>
      <c r="Q75" s="180"/>
      <c r="R75" s="180"/>
      <c r="S75" s="180"/>
      <c r="T75" s="180"/>
      <c r="U75" s="180"/>
      <c r="V75" s="180"/>
      <c r="W75" s="180"/>
      <c r="X75" s="181"/>
      <c r="Y75" s="195"/>
      <c r="Z75" s="180"/>
      <c r="AA75" s="180"/>
      <c r="AB75" s="180"/>
      <c r="AC75" s="180"/>
      <c r="AD75" s="180"/>
      <c r="AE75" s="180"/>
      <c r="AF75" s="180"/>
      <c r="AG75" s="181"/>
      <c r="AH75" s="32"/>
      <c r="AI75" s="180" t="str">
        <f>IF(BO76="YES","X"," ")</f>
        <v xml:space="preserve"> </v>
      </c>
      <c r="AJ75" s="180"/>
      <c r="AK75" s="180"/>
      <c r="AL75" s="33"/>
      <c r="AM75" s="32"/>
      <c r="AN75" s="180" t="str">
        <f>IF(BO76="NO","X"," ")</f>
        <v xml:space="preserve"> </v>
      </c>
      <c r="AO75" s="180"/>
      <c r="AP75" s="180"/>
      <c r="AQ75" s="33"/>
      <c r="AR75" s="195"/>
      <c r="AS75" s="180"/>
      <c r="AT75" s="180"/>
      <c r="AU75" s="180"/>
      <c r="AV75" s="180"/>
      <c r="AW75" s="180"/>
      <c r="AX75" s="180"/>
      <c r="AY75" s="180"/>
      <c r="AZ75" s="180"/>
      <c r="BA75" s="180"/>
      <c r="BB75" s="180"/>
      <c r="BC75" s="180"/>
      <c r="BD75" s="180"/>
      <c r="BE75" s="180"/>
      <c r="BF75" s="180"/>
      <c r="BG75" s="180"/>
      <c r="BH75" s="180"/>
      <c r="BI75" s="180"/>
      <c r="BJ75" s="180"/>
      <c r="BK75" s="180"/>
      <c r="BL75" s="226"/>
      <c r="BM75" s="1"/>
      <c r="BN75" s="1"/>
      <c r="BO75" s="1"/>
      <c r="BP75" s="1"/>
      <c r="BQ75" s="1"/>
      <c r="BR75" s="1"/>
      <c r="BS75" s="1"/>
    </row>
    <row r="76" spans="1:105" ht="7.5" customHeight="1" x14ac:dyDescent="0.25">
      <c r="A76" s="179"/>
      <c r="B76" s="180"/>
      <c r="C76" s="180"/>
      <c r="D76" s="180"/>
      <c r="E76" s="180"/>
      <c r="F76" s="180"/>
      <c r="G76" s="180"/>
      <c r="H76" s="180"/>
      <c r="I76" s="180"/>
      <c r="J76" s="180"/>
      <c r="K76" s="180"/>
      <c r="L76" s="180"/>
      <c r="M76" s="180"/>
      <c r="N76" s="180"/>
      <c r="O76" s="181"/>
      <c r="P76" s="195"/>
      <c r="Q76" s="180"/>
      <c r="R76" s="180"/>
      <c r="S76" s="180"/>
      <c r="T76" s="180"/>
      <c r="U76" s="180"/>
      <c r="V76" s="180"/>
      <c r="W76" s="180"/>
      <c r="X76" s="181"/>
      <c r="Y76" s="195"/>
      <c r="Z76" s="180"/>
      <c r="AA76" s="180"/>
      <c r="AB76" s="180"/>
      <c r="AC76" s="180"/>
      <c r="AD76" s="180"/>
      <c r="AE76" s="180"/>
      <c r="AF76" s="180"/>
      <c r="AG76" s="181"/>
      <c r="AH76" s="32"/>
      <c r="AI76" s="180"/>
      <c r="AJ76" s="180"/>
      <c r="AK76" s="180"/>
      <c r="AL76" s="33"/>
      <c r="AM76" s="32"/>
      <c r="AN76" s="180"/>
      <c r="AO76" s="180"/>
      <c r="AP76" s="180"/>
      <c r="AQ76" s="33"/>
      <c r="AR76" s="195"/>
      <c r="AS76" s="180"/>
      <c r="AT76" s="180"/>
      <c r="AU76" s="180"/>
      <c r="AV76" s="180"/>
      <c r="AW76" s="180"/>
      <c r="AX76" s="180"/>
      <c r="AY76" s="180"/>
      <c r="AZ76" s="180"/>
      <c r="BA76" s="180"/>
      <c r="BB76" s="180"/>
      <c r="BC76" s="180"/>
      <c r="BD76" s="180"/>
      <c r="BE76" s="180"/>
      <c r="BF76" s="180"/>
      <c r="BG76" s="180"/>
      <c r="BH76" s="180"/>
      <c r="BI76" s="180"/>
      <c r="BJ76" s="180"/>
      <c r="BK76" s="180"/>
      <c r="BL76" s="226"/>
      <c r="BM76" s="1"/>
      <c r="BN76" s="1"/>
      <c r="BO76" s="1" t="s">
        <v>1217</v>
      </c>
      <c r="BP76" s="1"/>
      <c r="BQ76" s="1"/>
      <c r="BR76" s="1"/>
      <c r="BS76" s="1"/>
    </row>
    <row r="77" spans="1:105" ht="7.5" customHeight="1" x14ac:dyDescent="0.25">
      <c r="A77" s="179"/>
      <c r="B77" s="180"/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  <c r="N77" s="180"/>
      <c r="O77" s="181"/>
      <c r="P77" s="195"/>
      <c r="Q77" s="180"/>
      <c r="R77" s="180"/>
      <c r="S77" s="180"/>
      <c r="T77" s="180"/>
      <c r="U77" s="180"/>
      <c r="V77" s="180"/>
      <c r="W77" s="180"/>
      <c r="X77" s="181"/>
      <c r="Y77" s="195"/>
      <c r="Z77" s="180"/>
      <c r="AA77" s="180"/>
      <c r="AB77" s="180"/>
      <c r="AC77" s="180"/>
      <c r="AD77" s="180"/>
      <c r="AE77" s="180"/>
      <c r="AF77" s="180"/>
      <c r="AG77" s="181"/>
      <c r="AH77" s="32"/>
      <c r="AI77" s="34"/>
      <c r="AJ77" s="34"/>
      <c r="AK77" s="34"/>
      <c r="AL77" s="33"/>
      <c r="AM77" s="32"/>
      <c r="AN77" s="34"/>
      <c r="AO77" s="34"/>
      <c r="AP77" s="34"/>
      <c r="AQ77" s="33"/>
      <c r="AR77" s="195"/>
      <c r="AS77" s="180"/>
      <c r="AT77" s="180"/>
      <c r="AU77" s="180"/>
      <c r="AV77" s="180"/>
      <c r="AW77" s="180"/>
      <c r="AX77" s="180"/>
      <c r="AY77" s="180"/>
      <c r="AZ77" s="180"/>
      <c r="BA77" s="180"/>
      <c r="BB77" s="180"/>
      <c r="BC77" s="180"/>
      <c r="BD77" s="180"/>
      <c r="BE77" s="180"/>
      <c r="BF77" s="180"/>
      <c r="BG77" s="180"/>
      <c r="BH77" s="180"/>
      <c r="BI77" s="180"/>
      <c r="BJ77" s="180"/>
      <c r="BK77" s="180"/>
      <c r="BL77" s="226"/>
      <c r="BM77" s="1"/>
      <c r="BN77" s="1"/>
      <c r="BO77" s="1"/>
      <c r="BP77" s="1"/>
      <c r="BQ77" s="1"/>
      <c r="BR77" s="1"/>
      <c r="BS77" s="1"/>
    </row>
    <row r="78" spans="1:105" ht="7.5" customHeight="1" x14ac:dyDescent="0.25">
      <c r="A78" s="182"/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4"/>
      <c r="P78" s="196"/>
      <c r="Q78" s="183"/>
      <c r="R78" s="183"/>
      <c r="S78" s="183"/>
      <c r="T78" s="183"/>
      <c r="U78" s="183"/>
      <c r="V78" s="183"/>
      <c r="W78" s="183"/>
      <c r="X78" s="184"/>
      <c r="Y78" s="196"/>
      <c r="Z78" s="183"/>
      <c r="AA78" s="183"/>
      <c r="AB78" s="183"/>
      <c r="AC78" s="183"/>
      <c r="AD78" s="183"/>
      <c r="AE78" s="183"/>
      <c r="AF78" s="183"/>
      <c r="AG78" s="184"/>
      <c r="AH78" s="35"/>
      <c r="AI78" s="36"/>
      <c r="AJ78" s="36"/>
      <c r="AK78" s="36"/>
      <c r="AL78" s="37"/>
      <c r="AM78" s="35"/>
      <c r="AN78" s="36"/>
      <c r="AO78" s="36"/>
      <c r="AP78" s="36"/>
      <c r="AQ78" s="37"/>
      <c r="AR78" s="196"/>
      <c r="AS78" s="183"/>
      <c r="AT78" s="183"/>
      <c r="AU78" s="183"/>
      <c r="AV78" s="183"/>
      <c r="AW78" s="183"/>
      <c r="AX78" s="183"/>
      <c r="AY78" s="183"/>
      <c r="AZ78" s="183"/>
      <c r="BA78" s="183"/>
      <c r="BB78" s="183"/>
      <c r="BC78" s="183"/>
      <c r="BD78" s="183"/>
      <c r="BE78" s="183"/>
      <c r="BF78" s="183"/>
      <c r="BG78" s="183"/>
      <c r="BH78" s="183"/>
      <c r="BI78" s="183"/>
      <c r="BJ78" s="183"/>
      <c r="BK78" s="183"/>
      <c r="BL78" s="227"/>
      <c r="BM78" s="1"/>
      <c r="BN78" s="1"/>
      <c r="BO78" s="1"/>
      <c r="BP78" s="1"/>
      <c r="BQ78" s="1"/>
      <c r="BR78" s="1"/>
      <c r="BS78" s="1"/>
    </row>
    <row r="79" spans="1:105" ht="7.5" customHeight="1" x14ac:dyDescent="0.25">
      <c r="A79" s="176" t="s">
        <v>1217</v>
      </c>
      <c r="B79" s="177"/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8"/>
      <c r="P79" s="194" t="s">
        <v>1217</v>
      </c>
      <c r="Q79" s="177"/>
      <c r="R79" s="177"/>
      <c r="S79" s="177"/>
      <c r="T79" s="177"/>
      <c r="U79" s="177"/>
      <c r="V79" s="177"/>
      <c r="W79" s="177"/>
      <c r="X79" s="178"/>
      <c r="Y79" s="194" t="s">
        <v>1217</v>
      </c>
      <c r="Z79" s="177"/>
      <c r="AA79" s="177"/>
      <c r="AB79" s="177"/>
      <c r="AC79" s="177"/>
      <c r="AD79" s="177"/>
      <c r="AE79" s="177"/>
      <c r="AF79" s="177"/>
      <c r="AG79" s="178"/>
      <c r="AH79" s="29"/>
      <c r="AI79" s="30"/>
      <c r="AJ79" s="30"/>
      <c r="AK79" s="30"/>
      <c r="AL79" s="31"/>
      <c r="AM79" s="29"/>
      <c r="AN79" s="30"/>
      <c r="AO79" s="30"/>
      <c r="AP79" s="30"/>
      <c r="AQ79" s="31"/>
      <c r="AR79" s="194" t="s">
        <v>1217</v>
      </c>
      <c r="AS79" s="177"/>
      <c r="AT79" s="177"/>
      <c r="AU79" s="177"/>
      <c r="AV79" s="177"/>
      <c r="AW79" s="177"/>
      <c r="AX79" s="177"/>
      <c r="AY79" s="177"/>
      <c r="AZ79" s="177"/>
      <c r="BA79" s="177"/>
      <c r="BB79" s="177"/>
      <c r="BC79" s="177"/>
      <c r="BD79" s="177"/>
      <c r="BE79" s="177"/>
      <c r="BF79" s="177"/>
      <c r="BG79" s="177"/>
      <c r="BH79" s="177"/>
      <c r="BI79" s="177"/>
      <c r="BJ79" s="177"/>
      <c r="BK79" s="177"/>
      <c r="BL79" s="225"/>
      <c r="BM79" s="1"/>
      <c r="BN79" s="1"/>
      <c r="BO79" s="1"/>
      <c r="BP79" s="1"/>
      <c r="BQ79" s="1"/>
      <c r="BR79" s="1"/>
      <c r="BS79" s="1"/>
    </row>
    <row r="80" spans="1:105" ht="7.5" customHeight="1" x14ac:dyDescent="0.25">
      <c r="A80" s="179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  <c r="N80" s="180"/>
      <c r="O80" s="181"/>
      <c r="P80" s="195"/>
      <c r="Q80" s="180"/>
      <c r="R80" s="180"/>
      <c r="S80" s="180"/>
      <c r="T80" s="180"/>
      <c r="U80" s="180"/>
      <c r="V80" s="180"/>
      <c r="W80" s="180"/>
      <c r="X80" s="181"/>
      <c r="Y80" s="195"/>
      <c r="Z80" s="180"/>
      <c r="AA80" s="180"/>
      <c r="AB80" s="180"/>
      <c r="AC80" s="180"/>
      <c r="AD80" s="180"/>
      <c r="AE80" s="180"/>
      <c r="AF80" s="180"/>
      <c r="AG80" s="181"/>
      <c r="AH80" s="32"/>
      <c r="AI80" s="180" t="str">
        <f>IF(BO80="YES","X"," ")</f>
        <v xml:space="preserve"> </v>
      </c>
      <c r="AJ80" s="180"/>
      <c r="AK80" s="180"/>
      <c r="AL80" s="33"/>
      <c r="AM80" s="32"/>
      <c r="AN80" s="180" t="str">
        <f>IF(BO80="NO","X"," ")</f>
        <v xml:space="preserve"> </v>
      </c>
      <c r="AO80" s="180"/>
      <c r="AP80" s="180"/>
      <c r="AQ80" s="33"/>
      <c r="AR80" s="195"/>
      <c r="AS80" s="180"/>
      <c r="AT80" s="180"/>
      <c r="AU80" s="180"/>
      <c r="AV80" s="180"/>
      <c r="AW80" s="180"/>
      <c r="AX80" s="180"/>
      <c r="AY80" s="180"/>
      <c r="AZ80" s="180"/>
      <c r="BA80" s="180"/>
      <c r="BB80" s="180"/>
      <c r="BC80" s="180"/>
      <c r="BD80" s="180"/>
      <c r="BE80" s="180"/>
      <c r="BF80" s="180"/>
      <c r="BG80" s="180"/>
      <c r="BH80" s="180"/>
      <c r="BI80" s="180"/>
      <c r="BJ80" s="180"/>
      <c r="BK80" s="180"/>
      <c r="BL80" s="226"/>
      <c r="BM80" s="1"/>
      <c r="BN80" s="1"/>
      <c r="BO80" s="1" t="s">
        <v>1217</v>
      </c>
      <c r="BP80" s="1"/>
      <c r="BQ80" s="1"/>
      <c r="BR80" s="1"/>
      <c r="BS80" s="1"/>
    </row>
    <row r="81" spans="1:71" ht="7.5" customHeight="1" x14ac:dyDescent="0.25">
      <c r="A81" s="179"/>
      <c r="B81" s="180"/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80"/>
      <c r="O81" s="181"/>
      <c r="P81" s="195"/>
      <c r="Q81" s="180"/>
      <c r="R81" s="180"/>
      <c r="S81" s="180"/>
      <c r="T81" s="180"/>
      <c r="U81" s="180"/>
      <c r="V81" s="180"/>
      <c r="W81" s="180"/>
      <c r="X81" s="181"/>
      <c r="Y81" s="195"/>
      <c r="Z81" s="180"/>
      <c r="AA81" s="180"/>
      <c r="AB81" s="180"/>
      <c r="AC81" s="180"/>
      <c r="AD81" s="180"/>
      <c r="AE81" s="180"/>
      <c r="AF81" s="180"/>
      <c r="AG81" s="181"/>
      <c r="AH81" s="32"/>
      <c r="AI81" s="180"/>
      <c r="AJ81" s="180"/>
      <c r="AK81" s="180"/>
      <c r="AL81" s="33"/>
      <c r="AM81" s="32"/>
      <c r="AN81" s="180"/>
      <c r="AO81" s="180"/>
      <c r="AP81" s="180"/>
      <c r="AQ81" s="33"/>
      <c r="AR81" s="195"/>
      <c r="AS81" s="180"/>
      <c r="AT81" s="180"/>
      <c r="AU81" s="180"/>
      <c r="AV81" s="180"/>
      <c r="AW81" s="180"/>
      <c r="AX81" s="180"/>
      <c r="AY81" s="180"/>
      <c r="AZ81" s="180"/>
      <c r="BA81" s="180"/>
      <c r="BB81" s="180"/>
      <c r="BC81" s="180"/>
      <c r="BD81" s="180"/>
      <c r="BE81" s="180"/>
      <c r="BF81" s="180"/>
      <c r="BG81" s="180"/>
      <c r="BH81" s="180"/>
      <c r="BI81" s="180"/>
      <c r="BJ81" s="180"/>
      <c r="BK81" s="180"/>
      <c r="BL81" s="226"/>
      <c r="BM81" s="1"/>
      <c r="BN81" s="1"/>
      <c r="BO81" s="1"/>
      <c r="BP81" s="1"/>
      <c r="BQ81" s="1"/>
      <c r="BR81" s="1"/>
      <c r="BS81" s="1"/>
    </row>
    <row r="82" spans="1:71" ht="7.5" customHeight="1" x14ac:dyDescent="0.25">
      <c r="A82" s="179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  <c r="N82" s="180"/>
      <c r="O82" s="181"/>
      <c r="P82" s="195"/>
      <c r="Q82" s="180"/>
      <c r="R82" s="180"/>
      <c r="S82" s="180"/>
      <c r="T82" s="180"/>
      <c r="U82" s="180"/>
      <c r="V82" s="180"/>
      <c r="W82" s="180"/>
      <c r="X82" s="181"/>
      <c r="Y82" s="195"/>
      <c r="Z82" s="180"/>
      <c r="AA82" s="180"/>
      <c r="AB82" s="180"/>
      <c r="AC82" s="180"/>
      <c r="AD82" s="180"/>
      <c r="AE82" s="180"/>
      <c r="AF82" s="180"/>
      <c r="AG82" s="181"/>
      <c r="AH82" s="32"/>
      <c r="AI82" s="34"/>
      <c r="AJ82" s="34"/>
      <c r="AK82" s="34"/>
      <c r="AL82" s="33"/>
      <c r="AM82" s="32"/>
      <c r="AN82" s="34"/>
      <c r="AO82" s="34"/>
      <c r="AP82" s="34"/>
      <c r="AQ82" s="33"/>
      <c r="AR82" s="195"/>
      <c r="AS82" s="180"/>
      <c r="AT82" s="180"/>
      <c r="AU82" s="180"/>
      <c r="AV82" s="180"/>
      <c r="AW82" s="180"/>
      <c r="AX82" s="180"/>
      <c r="AY82" s="180"/>
      <c r="AZ82" s="180"/>
      <c r="BA82" s="180"/>
      <c r="BB82" s="180"/>
      <c r="BC82" s="180"/>
      <c r="BD82" s="180"/>
      <c r="BE82" s="180"/>
      <c r="BF82" s="180"/>
      <c r="BG82" s="180"/>
      <c r="BH82" s="180"/>
      <c r="BI82" s="180"/>
      <c r="BJ82" s="180"/>
      <c r="BK82" s="180"/>
      <c r="BL82" s="226"/>
      <c r="BM82" s="1"/>
      <c r="BN82" s="1"/>
      <c r="BO82" s="1"/>
      <c r="BP82" s="1"/>
      <c r="BQ82" s="1"/>
      <c r="BR82" s="1"/>
      <c r="BS82" s="1"/>
    </row>
    <row r="83" spans="1:71" ht="7.5" customHeight="1" x14ac:dyDescent="0.25">
      <c r="A83" s="182"/>
      <c r="B83" s="183"/>
      <c r="C83" s="183"/>
      <c r="D83" s="183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4"/>
      <c r="P83" s="196"/>
      <c r="Q83" s="183"/>
      <c r="R83" s="183"/>
      <c r="S83" s="183"/>
      <c r="T83" s="183"/>
      <c r="U83" s="183"/>
      <c r="V83" s="183"/>
      <c r="W83" s="183"/>
      <c r="X83" s="184"/>
      <c r="Y83" s="196"/>
      <c r="Z83" s="183"/>
      <c r="AA83" s="183"/>
      <c r="AB83" s="183"/>
      <c r="AC83" s="183"/>
      <c r="AD83" s="183"/>
      <c r="AE83" s="183"/>
      <c r="AF83" s="183"/>
      <c r="AG83" s="184"/>
      <c r="AH83" s="35"/>
      <c r="AI83" s="36"/>
      <c r="AJ83" s="36"/>
      <c r="AK83" s="36"/>
      <c r="AL83" s="37"/>
      <c r="AM83" s="35"/>
      <c r="AN83" s="36"/>
      <c r="AO83" s="36"/>
      <c r="AP83" s="36"/>
      <c r="AQ83" s="37"/>
      <c r="AR83" s="196"/>
      <c r="AS83" s="183"/>
      <c r="AT83" s="183"/>
      <c r="AU83" s="183"/>
      <c r="AV83" s="183"/>
      <c r="AW83" s="183"/>
      <c r="AX83" s="183"/>
      <c r="AY83" s="183"/>
      <c r="AZ83" s="183"/>
      <c r="BA83" s="183"/>
      <c r="BB83" s="183"/>
      <c r="BC83" s="183"/>
      <c r="BD83" s="183"/>
      <c r="BE83" s="183"/>
      <c r="BF83" s="183"/>
      <c r="BG83" s="183"/>
      <c r="BH83" s="183"/>
      <c r="BI83" s="183"/>
      <c r="BJ83" s="183"/>
      <c r="BK83" s="183"/>
      <c r="BL83" s="227"/>
      <c r="BM83" s="1"/>
      <c r="BN83" s="1"/>
      <c r="BO83" s="1"/>
      <c r="BP83" s="1"/>
      <c r="BQ83" s="1"/>
      <c r="BR83" s="1"/>
      <c r="BS83" s="1"/>
    </row>
    <row r="84" spans="1:71" ht="7.5" customHeight="1" x14ac:dyDescent="0.25">
      <c r="A84" s="176" t="s">
        <v>1217</v>
      </c>
      <c r="B84" s="177"/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8"/>
      <c r="P84" s="194" t="s">
        <v>1217</v>
      </c>
      <c r="Q84" s="177"/>
      <c r="R84" s="177"/>
      <c r="S84" s="177"/>
      <c r="T84" s="177"/>
      <c r="U84" s="177"/>
      <c r="V84" s="177"/>
      <c r="W84" s="177"/>
      <c r="X84" s="178"/>
      <c r="Y84" s="194" t="s">
        <v>1217</v>
      </c>
      <c r="Z84" s="177"/>
      <c r="AA84" s="177"/>
      <c r="AB84" s="177"/>
      <c r="AC84" s="177"/>
      <c r="AD84" s="177"/>
      <c r="AE84" s="177"/>
      <c r="AF84" s="177"/>
      <c r="AG84" s="178"/>
      <c r="AH84" s="29"/>
      <c r="AI84" s="30"/>
      <c r="AJ84" s="30"/>
      <c r="AK84" s="30"/>
      <c r="AL84" s="31"/>
      <c r="AM84" s="29"/>
      <c r="AN84" s="30"/>
      <c r="AO84" s="30"/>
      <c r="AP84" s="30"/>
      <c r="AQ84" s="31"/>
      <c r="AR84" s="194" t="s">
        <v>1217</v>
      </c>
      <c r="AS84" s="177"/>
      <c r="AT84" s="177"/>
      <c r="AU84" s="177"/>
      <c r="AV84" s="177"/>
      <c r="AW84" s="177"/>
      <c r="AX84" s="177"/>
      <c r="AY84" s="177"/>
      <c r="AZ84" s="177"/>
      <c r="BA84" s="177"/>
      <c r="BB84" s="177"/>
      <c r="BC84" s="177"/>
      <c r="BD84" s="177"/>
      <c r="BE84" s="177"/>
      <c r="BF84" s="177"/>
      <c r="BG84" s="177"/>
      <c r="BH84" s="177"/>
      <c r="BI84" s="177"/>
      <c r="BJ84" s="177"/>
      <c r="BK84" s="177"/>
      <c r="BL84" s="225"/>
      <c r="BM84" s="1"/>
      <c r="BN84" s="1"/>
      <c r="BO84" s="1"/>
      <c r="BP84" s="1"/>
      <c r="BQ84" s="1"/>
      <c r="BR84" s="1"/>
      <c r="BS84" s="1"/>
    </row>
    <row r="85" spans="1:71" ht="7.5" customHeight="1" x14ac:dyDescent="0.25">
      <c r="A85" s="179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  <c r="N85" s="180"/>
      <c r="O85" s="181"/>
      <c r="P85" s="195"/>
      <c r="Q85" s="180"/>
      <c r="R85" s="180"/>
      <c r="S85" s="180"/>
      <c r="T85" s="180"/>
      <c r="U85" s="180"/>
      <c r="V85" s="180"/>
      <c r="W85" s="180"/>
      <c r="X85" s="181"/>
      <c r="Y85" s="195"/>
      <c r="Z85" s="180"/>
      <c r="AA85" s="180"/>
      <c r="AB85" s="180"/>
      <c r="AC85" s="180"/>
      <c r="AD85" s="180"/>
      <c r="AE85" s="180"/>
      <c r="AF85" s="180"/>
      <c r="AG85" s="181"/>
      <c r="AH85" s="32"/>
      <c r="AI85" s="180" t="str">
        <f>IF(BO85="YES","X"," ")</f>
        <v xml:space="preserve"> </v>
      </c>
      <c r="AJ85" s="180"/>
      <c r="AK85" s="180"/>
      <c r="AL85" s="33"/>
      <c r="AM85" s="32"/>
      <c r="AN85" s="180" t="str">
        <f>IF(BO85="NO","X"," ")</f>
        <v xml:space="preserve"> </v>
      </c>
      <c r="AO85" s="180"/>
      <c r="AP85" s="180"/>
      <c r="AQ85" s="33"/>
      <c r="AR85" s="195"/>
      <c r="AS85" s="180"/>
      <c r="AT85" s="180"/>
      <c r="AU85" s="180"/>
      <c r="AV85" s="180"/>
      <c r="AW85" s="180"/>
      <c r="AX85" s="180"/>
      <c r="AY85" s="180"/>
      <c r="AZ85" s="180"/>
      <c r="BA85" s="180"/>
      <c r="BB85" s="180"/>
      <c r="BC85" s="180"/>
      <c r="BD85" s="180"/>
      <c r="BE85" s="180"/>
      <c r="BF85" s="180"/>
      <c r="BG85" s="180"/>
      <c r="BH85" s="180"/>
      <c r="BI85" s="180"/>
      <c r="BJ85" s="180"/>
      <c r="BK85" s="180"/>
      <c r="BL85" s="226"/>
      <c r="BM85" s="1"/>
      <c r="BN85" s="1"/>
      <c r="BO85" s="1" t="s">
        <v>1217</v>
      </c>
      <c r="BP85" s="1"/>
      <c r="BQ85" s="1"/>
      <c r="BR85" s="1"/>
      <c r="BS85" s="1"/>
    </row>
    <row r="86" spans="1:71" ht="7.5" customHeight="1" x14ac:dyDescent="0.25">
      <c r="A86" s="179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1"/>
      <c r="P86" s="195"/>
      <c r="Q86" s="180"/>
      <c r="R86" s="180"/>
      <c r="S86" s="180"/>
      <c r="T86" s="180"/>
      <c r="U86" s="180"/>
      <c r="V86" s="180"/>
      <c r="W86" s="180"/>
      <c r="X86" s="181"/>
      <c r="Y86" s="195"/>
      <c r="Z86" s="180"/>
      <c r="AA86" s="180"/>
      <c r="AB86" s="180"/>
      <c r="AC86" s="180"/>
      <c r="AD86" s="180"/>
      <c r="AE86" s="180"/>
      <c r="AF86" s="180"/>
      <c r="AG86" s="181"/>
      <c r="AH86" s="32"/>
      <c r="AI86" s="180"/>
      <c r="AJ86" s="180"/>
      <c r="AK86" s="180"/>
      <c r="AL86" s="33"/>
      <c r="AM86" s="32"/>
      <c r="AN86" s="180"/>
      <c r="AO86" s="180"/>
      <c r="AP86" s="180"/>
      <c r="AQ86" s="33"/>
      <c r="AR86" s="195"/>
      <c r="AS86" s="180"/>
      <c r="AT86" s="180"/>
      <c r="AU86" s="180"/>
      <c r="AV86" s="180"/>
      <c r="AW86" s="180"/>
      <c r="AX86" s="180"/>
      <c r="AY86" s="180"/>
      <c r="AZ86" s="180"/>
      <c r="BA86" s="180"/>
      <c r="BB86" s="180"/>
      <c r="BC86" s="180"/>
      <c r="BD86" s="180"/>
      <c r="BE86" s="180"/>
      <c r="BF86" s="180"/>
      <c r="BG86" s="180"/>
      <c r="BH86" s="180"/>
      <c r="BI86" s="180"/>
      <c r="BJ86" s="180"/>
      <c r="BK86" s="180"/>
      <c r="BL86" s="226"/>
      <c r="BM86" s="1"/>
      <c r="BN86" s="1"/>
      <c r="BO86" s="1"/>
      <c r="BP86" s="1"/>
      <c r="BQ86" s="1"/>
      <c r="BR86" s="1"/>
      <c r="BS86" s="1"/>
    </row>
    <row r="87" spans="1:71" ht="7.5" customHeight="1" x14ac:dyDescent="0.25">
      <c r="A87" s="179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1"/>
      <c r="P87" s="195"/>
      <c r="Q87" s="180"/>
      <c r="R87" s="180"/>
      <c r="S87" s="180"/>
      <c r="T87" s="180"/>
      <c r="U87" s="180"/>
      <c r="V87" s="180"/>
      <c r="W87" s="180"/>
      <c r="X87" s="181"/>
      <c r="Y87" s="195"/>
      <c r="Z87" s="180"/>
      <c r="AA87" s="180"/>
      <c r="AB87" s="180"/>
      <c r="AC87" s="180"/>
      <c r="AD87" s="180"/>
      <c r="AE87" s="180"/>
      <c r="AF87" s="180"/>
      <c r="AG87" s="181"/>
      <c r="AH87" s="32"/>
      <c r="AI87" s="34"/>
      <c r="AJ87" s="34"/>
      <c r="AK87" s="34"/>
      <c r="AL87" s="33"/>
      <c r="AM87" s="32"/>
      <c r="AN87" s="34"/>
      <c r="AO87" s="34"/>
      <c r="AP87" s="34"/>
      <c r="AQ87" s="33"/>
      <c r="AR87" s="195"/>
      <c r="AS87" s="180"/>
      <c r="AT87" s="180"/>
      <c r="AU87" s="180"/>
      <c r="AV87" s="180"/>
      <c r="AW87" s="180"/>
      <c r="AX87" s="180"/>
      <c r="AY87" s="180"/>
      <c r="AZ87" s="180"/>
      <c r="BA87" s="180"/>
      <c r="BB87" s="180"/>
      <c r="BC87" s="180"/>
      <c r="BD87" s="180"/>
      <c r="BE87" s="180"/>
      <c r="BF87" s="180"/>
      <c r="BG87" s="180"/>
      <c r="BH87" s="180"/>
      <c r="BI87" s="180"/>
      <c r="BJ87" s="180"/>
      <c r="BK87" s="180"/>
      <c r="BL87" s="226"/>
      <c r="BM87" s="1"/>
      <c r="BN87" s="1"/>
      <c r="BO87" s="1"/>
      <c r="BP87" s="1"/>
      <c r="BQ87" s="1"/>
      <c r="BR87" s="1"/>
      <c r="BS87" s="1"/>
    </row>
    <row r="88" spans="1:71" ht="7.5" customHeight="1" x14ac:dyDescent="0.25">
      <c r="A88" s="182"/>
      <c r="B88" s="183"/>
      <c r="C88" s="183"/>
      <c r="D88" s="183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4"/>
      <c r="P88" s="196"/>
      <c r="Q88" s="183"/>
      <c r="R88" s="183"/>
      <c r="S88" s="183"/>
      <c r="T88" s="183"/>
      <c r="U88" s="183"/>
      <c r="V88" s="183"/>
      <c r="W88" s="183"/>
      <c r="X88" s="184"/>
      <c r="Y88" s="196"/>
      <c r="Z88" s="183"/>
      <c r="AA88" s="183"/>
      <c r="AB88" s="183"/>
      <c r="AC88" s="183"/>
      <c r="AD88" s="183"/>
      <c r="AE88" s="183"/>
      <c r="AF88" s="183"/>
      <c r="AG88" s="184"/>
      <c r="AH88" s="35"/>
      <c r="AI88" s="36"/>
      <c r="AJ88" s="36"/>
      <c r="AK88" s="36"/>
      <c r="AL88" s="37"/>
      <c r="AM88" s="35"/>
      <c r="AN88" s="36"/>
      <c r="AO88" s="36"/>
      <c r="AP88" s="36"/>
      <c r="AQ88" s="37"/>
      <c r="AR88" s="196"/>
      <c r="AS88" s="183"/>
      <c r="AT88" s="183"/>
      <c r="AU88" s="183"/>
      <c r="AV88" s="183"/>
      <c r="AW88" s="183"/>
      <c r="AX88" s="183"/>
      <c r="AY88" s="183"/>
      <c r="AZ88" s="183"/>
      <c r="BA88" s="183"/>
      <c r="BB88" s="183"/>
      <c r="BC88" s="183"/>
      <c r="BD88" s="183"/>
      <c r="BE88" s="183"/>
      <c r="BF88" s="183"/>
      <c r="BG88" s="183"/>
      <c r="BH88" s="183"/>
      <c r="BI88" s="183"/>
      <c r="BJ88" s="183"/>
      <c r="BK88" s="183"/>
      <c r="BL88" s="227"/>
      <c r="BM88" s="1"/>
      <c r="BN88" s="1"/>
      <c r="BO88" s="1"/>
      <c r="BP88" s="1"/>
      <c r="BQ88" s="1"/>
      <c r="BR88" s="1"/>
      <c r="BS88" s="1"/>
    </row>
    <row r="89" spans="1:71" ht="7.5" customHeight="1" x14ac:dyDescent="0.25">
      <c r="A89" s="26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8"/>
      <c r="BM89" s="1"/>
      <c r="BN89" s="1"/>
      <c r="BO89" s="1"/>
      <c r="BP89" s="1"/>
      <c r="BQ89" s="1"/>
      <c r="BR89" s="1"/>
      <c r="BS89" s="1"/>
    </row>
    <row r="90" spans="1:71" ht="7.5" customHeight="1" x14ac:dyDescent="0.25">
      <c r="A90" s="228" t="s">
        <v>1255</v>
      </c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118"/>
      <c r="T90" s="118"/>
      <c r="U90" s="118"/>
      <c r="V90" s="118"/>
      <c r="W90" s="118"/>
      <c r="X90" s="118"/>
      <c r="Y90" s="118"/>
      <c r="Z90" s="118"/>
      <c r="AA90" s="118"/>
      <c r="AB90" s="118"/>
      <c r="AC90" s="118"/>
      <c r="AD90" s="118"/>
      <c r="AE90" s="118"/>
      <c r="AF90" s="118"/>
      <c r="AG90" s="118"/>
      <c r="AH90" s="118"/>
      <c r="AI90" s="118"/>
      <c r="AJ90" s="118"/>
      <c r="AK90" s="118"/>
      <c r="AL90" s="118"/>
      <c r="AM90" s="118"/>
      <c r="AN90" s="118"/>
      <c r="AO90" s="118"/>
      <c r="AP90" s="118"/>
      <c r="AQ90" s="118"/>
      <c r="AR90" s="118"/>
      <c r="AS90" s="118"/>
      <c r="AT90" s="118"/>
      <c r="AU90" s="118"/>
      <c r="AV90" s="118"/>
      <c r="AW90" s="118"/>
      <c r="AX90" s="118"/>
      <c r="AY90" s="118"/>
      <c r="AZ90" s="118"/>
      <c r="BA90" s="118"/>
      <c r="BB90" s="118"/>
      <c r="BC90" s="118"/>
      <c r="BD90" s="118"/>
      <c r="BE90" s="118"/>
      <c r="BF90" s="118"/>
      <c r="BG90" s="118"/>
      <c r="BH90" s="118"/>
      <c r="BI90" s="118"/>
      <c r="BJ90" s="118"/>
      <c r="BK90" s="118"/>
      <c r="BL90" s="158"/>
      <c r="BM90" s="1"/>
      <c r="BN90" s="1"/>
      <c r="BO90" s="1"/>
      <c r="BP90" s="1"/>
      <c r="BQ90" s="1"/>
      <c r="BR90" s="1"/>
      <c r="BS90" s="1"/>
    </row>
    <row r="91" spans="1:71" ht="7.5" customHeight="1" x14ac:dyDescent="0.25">
      <c r="A91" s="120"/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1"/>
      <c r="BK91" s="121"/>
      <c r="BL91" s="160"/>
      <c r="BM91" s="1"/>
      <c r="BN91" s="1"/>
      <c r="BO91" s="1"/>
      <c r="BP91" s="1"/>
      <c r="BQ91" s="1"/>
      <c r="BR91" s="1"/>
      <c r="BS91" s="1"/>
    </row>
    <row r="92" spans="1:71" ht="7.5" customHeight="1" x14ac:dyDescent="0.25">
      <c r="A92" s="120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1"/>
      <c r="BK92" s="121"/>
      <c r="BL92" s="160"/>
      <c r="BM92" s="1"/>
      <c r="BN92" s="1"/>
      <c r="BO92" s="1"/>
      <c r="BP92" s="1"/>
      <c r="BQ92" s="1"/>
      <c r="BR92" s="1"/>
      <c r="BS92" s="1"/>
    </row>
    <row r="93" spans="1:71" ht="7.5" customHeight="1" x14ac:dyDescent="0.25">
      <c r="A93" s="229" t="s">
        <v>1219</v>
      </c>
      <c r="B93" s="230"/>
      <c r="C93" s="230"/>
      <c r="D93" s="230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30"/>
      <c r="S93" s="230"/>
      <c r="T93" s="230"/>
      <c r="U93" s="230"/>
      <c r="V93" s="230"/>
      <c r="W93" s="233" t="s">
        <v>1356</v>
      </c>
      <c r="X93" s="233"/>
      <c r="Y93" s="233"/>
      <c r="Z93" s="233"/>
      <c r="AA93" s="233"/>
      <c r="AB93" s="233"/>
      <c r="AC93" s="233"/>
      <c r="AD93" s="233"/>
      <c r="AE93" s="233"/>
      <c r="AF93" s="233"/>
      <c r="AG93" s="233"/>
      <c r="AH93" s="233"/>
      <c r="AI93" s="233"/>
      <c r="AJ93" s="233"/>
      <c r="AK93" s="233"/>
      <c r="AL93" s="233"/>
      <c r="AM93" s="233"/>
      <c r="AN93" s="233"/>
      <c r="AO93" s="233"/>
      <c r="AP93" s="233"/>
      <c r="AQ93" s="233"/>
      <c r="AR93" s="233"/>
      <c r="AS93" s="234"/>
      <c r="AT93" s="237" t="s">
        <v>1220</v>
      </c>
      <c r="AU93" s="230"/>
      <c r="AV93" s="230"/>
      <c r="AW93" s="230"/>
      <c r="AX93" s="230"/>
      <c r="AY93" s="230"/>
      <c r="AZ93" s="230"/>
      <c r="BA93" s="239" t="s">
        <v>1355</v>
      </c>
      <c r="BB93" s="239"/>
      <c r="BC93" s="239"/>
      <c r="BD93" s="239"/>
      <c r="BE93" s="239"/>
      <c r="BF93" s="239"/>
      <c r="BG93" s="239"/>
      <c r="BH93" s="239"/>
      <c r="BI93" s="239"/>
      <c r="BJ93" s="239"/>
      <c r="BK93" s="239"/>
      <c r="BL93" s="240"/>
      <c r="BM93" s="1"/>
      <c r="BN93" s="1"/>
      <c r="BO93" s="1"/>
      <c r="BP93" s="1"/>
      <c r="BQ93" s="1"/>
      <c r="BR93" s="1"/>
      <c r="BS93" s="1"/>
    </row>
    <row r="94" spans="1:71" ht="7.5" customHeight="1" x14ac:dyDescent="0.25">
      <c r="A94" s="231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32"/>
      <c r="S94" s="232"/>
      <c r="T94" s="232"/>
      <c r="U94" s="232"/>
      <c r="V94" s="232"/>
      <c r="W94" s="235"/>
      <c r="X94" s="235"/>
      <c r="Y94" s="235"/>
      <c r="Z94" s="235"/>
      <c r="AA94" s="235"/>
      <c r="AB94" s="235"/>
      <c r="AC94" s="235"/>
      <c r="AD94" s="235"/>
      <c r="AE94" s="235"/>
      <c r="AF94" s="235"/>
      <c r="AG94" s="235"/>
      <c r="AH94" s="235"/>
      <c r="AI94" s="235"/>
      <c r="AJ94" s="235"/>
      <c r="AK94" s="235"/>
      <c r="AL94" s="235"/>
      <c r="AM94" s="235"/>
      <c r="AN94" s="235"/>
      <c r="AO94" s="235"/>
      <c r="AP94" s="235"/>
      <c r="AQ94" s="235"/>
      <c r="AR94" s="235"/>
      <c r="AS94" s="236"/>
      <c r="AT94" s="238"/>
      <c r="AU94" s="232"/>
      <c r="AV94" s="232"/>
      <c r="AW94" s="232"/>
      <c r="AX94" s="232"/>
      <c r="AY94" s="232"/>
      <c r="AZ94" s="232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2"/>
      <c r="BM94" s="1"/>
      <c r="BN94" s="1"/>
      <c r="BO94" s="1"/>
      <c r="BP94" s="1"/>
      <c r="BQ94" s="1"/>
      <c r="BR94" s="1"/>
      <c r="BS94" s="1"/>
    </row>
    <row r="95" spans="1:71" ht="7.5" customHeight="1" x14ac:dyDescent="0.25">
      <c r="A95" s="3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235" t="s">
        <v>1357</v>
      </c>
      <c r="X95" s="235"/>
      <c r="Y95" s="235"/>
      <c r="Z95" s="235"/>
      <c r="AA95" s="235"/>
      <c r="AB95" s="235"/>
      <c r="AC95" s="235"/>
      <c r="AD95" s="235"/>
      <c r="AE95" s="235"/>
      <c r="AF95" s="235"/>
      <c r="AG95" s="235"/>
      <c r="AH95" s="235"/>
      <c r="AI95" s="235"/>
      <c r="AJ95" s="235"/>
      <c r="AK95" s="235"/>
      <c r="AL95" s="235"/>
      <c r="AM95" s="235"/>
      <c r="AN95" s="235"/>
      <c r="AO95" s="235"/>
      <c r="AP95" s="235"/>
      <c r="AQ95" s="235"/>
      <c r="AR95" s="235"/>
      <c r="AS95" s="236"/>
      <c r="AT95" s="6"/>
      <c r="AU95" s="4"/>
      <c r="AV95" s="4"/>
      <c r="AW95" s="4"/>
      <c r="AX95" s="4"/>
      <c r="AY95" s="4"/>
      <c r="AZ95" s="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2"/>
      <c r="BM95" s="1"/>
      <c r="BN95" s="1"/>
      <c r="BO95" s="1"/>
      <c r="BP95" s="1"/>
      <c r="BQ95" s="1"/>
      <c r="BR95" s="1"/>
      <c r="BS95" s="1"/>
    </row>
    <row r="96" spans="1:71" ht="7.5" customHeight="1" x14ac:dyDescent="0.25">
      <c r="A96" s="7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350" t="s">
        <v>1358</v>
      </c>
      <c r="X96" s="350"/>
      <c r="Y96" s="350"/>
      <c r="Z96" s="350"/>
      <c r="AA96" s="350"/>
      <c r="AB96" s="350"/>
      <c r="AC96" s="350"/>
      <c r="AD96" s="350"/>
      <c r="AE96" s="350"/>
      <c r="AF96" s="350"/>
      <c r="AG96" s="350"/>
      <c r="AH96" s="350"/>
      <c r="AI96" s="350"/>
      <c r="AJ96" s="350"/>
      <c r="AK96" s="350"/>
      <c r="AL96" s="350"/>
      <c r="AM96" s="350"/>
      <c r="AN96" s="350"/>
      <c r="AO96" s="350"/>
      <c r="AP96" s="350"/>
      <c r="AQ96" s="350"/>
      <c r="AR96" s="350"/>
      <c r="AS96" s="351"/>
      <c r="AT96" s="10"/>
      <c r="AU96" s="8"/>
      <c r="AV96" s="8"/>
      <c r="AW96" s="8"/>
      <c r="AX96" s="8"/>
      <c r="AY96" s="8"/>
      <c r="AZ96" s="8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4"/>
      <c r="BM96" s="1"/>
      <c r="BN96" s="1"/>
      <c r="BO96" s="1"/>
      <c r="BP96" s="1"/>
      <c r="BQ96" s="1"/>
      <c r="BR96" s="1"/>
      <c r="BS96" s="1"/>
    </row>
    <row r="97" spans="1:71" ht="7.5" customHeight="1" x14ac:dyDescent="0.25">
      <c r="A97" s="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X97" s="339" t="s">
        <v>1359</v>
      </c>
      <c r="Y97" s="339"/>
      <c r="Z97" s="339"/>
      <c r="AA97" s="339"/>
      <c r="AB97" s="339"/>
      <c r="AC97" s="339"/>
      <c r="AD97" s="339"/>
      <c r="AE97" s="339"/>
      <c r="AF97" s="339"/>
      <c r="AG97" s="339"/>
      <c r="AH97" s="339"/>
      <c r="AI97" s="339"/>
      <c r="AJ97" s="339"/>
      <c r="AK97" s="339"/>
      <c r="AL97" s="339"/>
      <c r="AM97" s="339"/>
      <c r="AN97" s="339"/>
      <c r="AO97" s="339"/>
      <c r="AP97" s="339"/>
      <c r="AQ97" s="339"/>
      <c r="AR97" s="339"/>
      <c r="AS97" s="339"/>
      <c r="AT97" s="4"/>
      <c r="AU97" s="4"/>
      <c r="AV97" s="4"/>
      <c r="AW97" s="4"/>
      <c r="AX97" s="4"/>
      <c r="AY97" s="457">
        <v>44172</v>
      </c>
      <c r="AZ97" s="457"/>
      <c r="BA97" s="457"/>
      <c r="BB97" s="457"/>
      <c r="BC97" s="457"/>
      <c r="BD97" s="457"/>
      <c r="BE97" s="457"/>
      <c r="BF97" s="457"/>
      <c r="BG97" s="457"/>
      <c r="BH97" s="457"/>
      <c r="BI97" s="457"/>
      <c r="BJ97" s="457"/>
      <c r="BK97" s="457"/>
      <c r="BL97" s="458"/>
      <c r="BM97" s="1"/>
      <c r="BN97" s="1"/>
      <c r="BO97" s="1"/>
      <c r="BP97" s="1"/>
      <c r="BQ97" s="1"/>
      <c r="BR97" s="1"/>
      <c r="BS97" s="1"/>
    </row>
    <row r="98" spans="1:71" ht="7.5" customHeight="1" x14ac:dyDescent="0.25">
      <c r="A98" s="231" t="s">
        <v>1221</v>
      </c>
      <c r="B98" s="232"/>
      <c r="C98" s="232"/>
      <c r="D98" s="232"/>
      <c r="E98" s="232"/>
      <c r="F98" s="232"/>
      <c r="G98" s="232"/>
      <c r="H98" s="471" t="s">
        <v>1379</v>
      </c>
      <c r="I98" s="471"/>
      <c r="J98" s="471"/>
      <c r="K98" s="471"/>
      <c r="L98" s="471"/>
      <c r="M98" s="471"/>
      <c r="N98" s="471"/>
      <c r="O98" s="471"/>
      <c r="P98" s="471"/>
      <c r="Q98" s="471"/>
      <c r="R98" s="471"/>
      <c r="S98" s="471"/>
      <c r="T98" s="471"/>
      <c r="U98" s="471"/>
      <c r="V98" s="471"/>
      <c r="W98" s="471"/>
      <c r="X98" s="342"/>
      <c r="Y98" s="342"/>
      <c r="Z98" s="342"/>
      <c r="AA98" s="342"/>
      <c r="AB98" s="342"/>
      <c r="AC98" s="342"/>
      <c r="AD98" s="342"/>
      <c r="AE98" s="342"/>
      <c r="AF98" s="342"/>
      <c r="AG98" s="342"/>
      <c r="AH98" s="342"/>
      <c r="AI98" s="342"/>
      <c r="AJ98" s="342"/>
      <c r="AK98" s="342"/>
      <c r="AL98" s="342"/>
      <c r="AM98" s="342"/>
      <c r="AN98" s="342"/>
      <c r="AO98" s="342"/>
      <c r="AP98" s="342"/>
      <c r="AQ98" s="342"/>
      <c r="AR98" s="342"/>
      <c r="AS98" s="342"/>
      <c r="AT98" s="232" t="s">
        <v>1222</v>
      </c>
      <c r="AU98" s="232"/>
      <c r="AV98" s="232"/>
      <c r="AW98" s="232"/>
      <c r="AX98" s="232"/>
      <c r="AY98" s="459"/>
      <c r="AZ98" s="459"/>
      <c r="BA98" s="459"/>
      <c r="BB98" s="459"/>
      <c r="BC98" s="459"/>
      <c r="BD98" s="459"/>
      <c r="BE98" s="459"/>
      <c r="BF98" s="459"/>
      <c r="BG98" s="459"/>
      <c r="BH98" s="459"/>
      <c r="BI98" s="459"/>
      <c r="BJ98" s="459"/>
      <c r="BK98" s="459"/>
      <c r="BL98" s="460"/>
      <c r="BM98" s="1"/>
      <c r="BN98" s="1"/>
      <c r="BO98" s="1"/>
      <c r="BP98" s="1"/>
      <c r="BQ98" s="1"/>
      <c r="BR98" s="1"/>
      <c r="BS98" s="1"/>
    </row>
    <row r="99" spans="1:71" ht="7.5" customHeight="1" x14ac:dyDescent="0.25">
      <c r="A99" s="231"/>
      <c r="B99" s="232"/>
      <c r="C99" s="232"/>
      <c r="D99" s="232"/>
      <c r="E99" s="232"/>
      <c r="F99" s="232"/>
      <c r="G99" s="232"/>
      <c r="H99" s="471"/>
      <c r="I99" s="471"/>
      <c r="J99" s="471"/>
      <c r="K99" s="471"/>
      <c r="L99" s="471"/>
      <c r="M99" s="471"/>
      <c r="N99" s="471"/>
      <c r="O99" s="471"/>
      <c r="P99" s="471"/>
      <c r="Q99" s="471"/>
      <c r="R99" s="471"/>
      <c r="S99" s="471"/>
      <c r="T99" s="471"/>
      <c r="U99" s="471"/>
      <c r="V99" s="471"/>
      <c r="W99" s="471"/>
      <c r="X99" s="91" t="s">
        <v>1360</v>
      </c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1"/>
      <c r="AL99" s="91"/>
      <c r="AM99" s="91"/>
      <c r="AN99" s="91"/>
      <c r="AO99" s="91"/>
      <c r="AP99" s="91"/>
      <c r="AQ99" s="91"/>
      <c r="AR99" s="91"/>
      <c r="AS99" s="91"/>
      <c r="AT99" s="232"/>
      <c r="AU99" s="232"/>
      <c r="AV99" s="232"/>
      <c r="AW99" s="232"/>
      <c r="AX99" s="232"/>
      <c r="AY99" s="459"/>
      <c r="AZ99" s="459"/>
      <c r="BA99" s="459"/>
      <c r="BB99" s="459"/>
      <c r="BC99" s="459"/>
      <c r="BD99" s="459"/>
      <c r="BE99" s="459"/>
      <c r="BF99" s="459"/>
      <c r="BG99" s="459"/>
      <c r="BH99" s="459"/>
      <c r="BI99" s="459"/>
      <c r="BJ99" s="459"/>
      <c r="BK99" s="459"/>
      <c r="BL99" s="460"/>
      <c r="BM99" s="1"/>
      <c r="BN99" s="1"/>
      <c r="BO99" s="1"/>
      <c r="BP99" s="1"/>
      <c r="BQ99" s="1"/>
      <c r="BR99" s="1"/>
      <c r="BS99" s="1"/>
    </row>
    <row r="100" spans="1:71" ht="7.5" customHeight="1" thickBot="1" x14ac:dyDescent="0.3">
      <c r="A100" s="11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463"/>
      <c r="X100" s="463"/>
      <c r="Y100" s="463"/>
      <c r="Z100" s="463"/>
      <c r="AA100" s="463"/>
      <c r="AB100" s="463"/>
      <c r="AC100" s="463"/>
      <c r="AD100" s="463"/>
      <c r="AE100" s="463"/>
      <c r="AF100" s="463"/>
      <c r="AG100" s="463"/>
      <c r="AH100" s="463"/>
      <c r="AI100" s="463"/>
      <c r="AJ100" s="463"/>
      <c r="AK100" s="463"/>
      <c r="AL100" s="463"/>
      <c r="AM100" s="463"/>
      <c r="AN100" s="463"/>
      <c r="AO100" s="463"/>
      <c r="AP100" s="463"/>
      <c r="AQ100" s="463"/>
      <c r="AR100" s="463"/>
      <c r="AS100" s="463"/>
      <c r="AT100" s="12"/>
      <c r="AU100" s="12"/>
      <c r="AV100" s="12"/>
      <c r="AW100" s="12"/>
      <c r="AX100" s="12"/>
      <c r="AY100" s="461"/>
      <c r="AZ100" s="461"/>
      <c r="BA100" s="461"/>
      <c r="BB100" s="461"/>
      <c r="BC100" s="461"/>
      <c r="BD100" s="461"/>
      <c r="BE100" s="461"/>
      <c r="BF100" s="461"/>
      <c r="BG100" s="461"/>
      <c r="BH100" s="461"/>
      <c r="BI100" s="461"/>
      <c r="BJ100" s="461"/>
      <c r="BK100" s="461"/>
      <c r="BL100" s="462"/>
      <c r="BM100" s="1"/>
      <c r="BN100" s="1"/>
      <c r="BO100" s="1"/>
      <c r="BP100" s="1"/>
      <c r="BQ100" s="1"/>
      <c r="BR100" s="1"/>
      <c r="BS100" s="1"/>
    </row>
    <row r="101" spans="1:71" ht="7.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</row>
    <row r="102" spans="1:71" ht="7.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</row>
    <row r="103" spans="1:71" ht="7.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271" t="s">
        <v>1251</v>
      </c>
      <c r="AQ103" s="271"/>
      <c r="AR103" s="271"/>
      <c r="AS103" s="271"/>
      <c r="AT103" s="271"/>
      <c r="AU103" s="271"/>
      <c r="AV103" s="271"/>
      <c r="AW103" s="271"/>
      <c r="AX103" s="271"/>
      <c r="AY103" s="271"/>
      <c r="AZ103" s="271"/>
      <c r="BA103" s="271"/>
      <c r="BB103" s="271"/>
      <c r="BC103" s="271"/>
      <c r="BD103" s="271"/>
      <c r="BE103" s="271"/>
      <c r="BF103" s="271"/>
      <c r="BG103" s="271"/>
      <c r="BH103" s="273" t="s">
        <v>1256</v>
      </c>
      <c r="BI103" s="273" t="s">
        <v>1257</v>
      </c>
      <c r="BJ103" s="273"/>
      <c r="BK103" s="273"/>
      <c r="BL103" s="273"/>
      <c r="BM103" s="1"/>
      <c r="BN103" s="1"/>
      <c r="BO103" s="1"/>
      <c r="BP103" s="1"/>
      <c r="BQ103" s="1"/>
      <c r="BR103" s="1"/>
      <c r="BS103" s="1"/>
    </row>
    <row r="104" spans="1:71" ht="7.5" customHeight="1" x14ac:dyDescent="0.25">
      <c r="A104" s="1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272"/>
      <c r="AQ104" s="272"/>
      <c r="AR104" s="272"/>
      <c r="AS104" s="272"/>
      <c r="AT104" s="272"/>
      <c r="AU104" s="272"/>
      <c r="AV104" s="272"/>
      <c r="AW104" s="272"/>
      <c r="AX104" s="272"/>
      <c r="AY104" s="272"/>
      <c r="AZ104" s="272"/>
      <c r="BA104" s="272"/>
      <c r="BB104" s="272"/>
      <c r="BC104" s="272"/>
      <c r="BD104" s="272"/>
      <c r="BE104" s="272"/>
      <c r="BF104" s="272"/>
      <c r="BG104" s="272"/>
      <c r="BH104" s="274"/>
      <c r="BI104" s="274"/>
      <c r="BJ104" s="274"/>
      <c r="BK104" s="274"/>
      <c r="BL104" s="274"/>
      <c r="BM104" s="1"/>
      <c r="BN104" s="1"/>
      <c r="BO104" s="1"/>
      <c r="BP104" s="1"/>
      <c r="BQ104" s="1"/>
      <c r="BR104" s="1"/>
      <c r="BS104" s="1"/>
    </row>
    <row r="105" spans="1:71" ht="7.5" customHeight="1" x14ac:dyDescent="0.25">
      <c r="A105" s="38"/>
      <c r="B105" s="275"/>
      <c r="C105" s="275"/>
      <c r="D105" s="275"/>
      <c r="E105" s="275"/>
      <c r="F105" s="275"/>
      <c r="G105" s="275"/>
      <c r="H105" s="275"/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  <c r="X105" s="275"/>
      <c r="Y105" s="275"/>
      <c r="Z105" s="275"/>
      <c r="AA105" s="275"/>
      <c r="AB105" s="275"/>
      <c r="AC105" s="275"/>
      <c r="AD105" s="275"/>
      <c r="AE105" s="275"/>
      <c r="AF105" s="275"/>
      <c r="AG105" s="275"/>
      <c r="AH105" s="275"/>
      <c r="AI105" s="275"/>
      <c r="AJ105" s="275"/>
      <c r="AK105" s="275"/>
      <c r="AL105" s="275"/>
      <c r="AM105" s="275"/>
      <c r="AN105" s="275"/>
      <c r="AO105" s="275"/>
      <c r="AP105" s="275"/>
      <c r="AQ105" s="275"/>
      <c r="AR105" s="275"/>
      <c r="AS105" s="275"/>
      <c r="AT105" s="275"/>
      <c r="AU105" s="275"/>
      <c r="AV105" s="275"/>
      <c r="AW105" s="275"/>
      <c r="AX105" s="275"/>
      <c r="AY105" s="275"/>
      <c r="AZ105" s="275"/>
      <c r="BA105" s="275"/>
      <c r="BB105" s="275"/>
      <c r="BC105" s="275"/>
      <c r="BD105" s="275"/>
      <c r="BE105" s="275"/>
      <c r="BF105" s="275"/>
      <c r="BG105" s="275"/>
      <c r="BH105" s="275"/>
      <c r="BI105" s="275"/>
      <c r="BJ105" s="275"/>
      <c r="BK105" s="275"/>
      <c r="BL105" s="39"/>
      <c r="BM105" s="1"/>
      <c r="BN105" s="1"/>
      <c r="BO105" s="1"/>
      <c r="BP105" s="1"/>
      <c r="BQ105" s="1"/>
      <c r="BR105" s="1"/>
      <c r="BS105" s="1"/>
    </row>
    <row r="106" spans="1:71" ht="7.5" customHeight="1" thickBot="1" x14ac:dyDescent="0.3">
      <c r="A106" s="6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5"/>
      <c r="BM106" s="1"/>
      <c r="BN106" s="1"/>
      <c r="BO106" s="1"/>
      <c r="BP106" s="1"/>
      <c r="BQ106" s="1"/>
      <c r="BR106" s="1"/>
      <c r="BS106" s="1"/>
    </row>
    <row r="107" spans="1:71" ht="7.5" customHeight="1" thickTop="1" x14ac:dyDescent="0.25">
      <c r="A107" s="6"/>
      <c r="B107" s="1"/>
      <c r="C107" s="1"/>
      <c r="D107" s="1"/>
      <c r="E107" s="1"/>
      <c r="F107" s="1"/>
      <c r="G107" s="276" t="s">
        <v>1258</v>
      </c>
      <c r="H107" s="277"/>
      <c r="I107" s="277"/>
      <c r="J107" s="277"/>
      <c r="K107" s="277"/>
      <c r="L107" s="277"/>
      <c r="M107" s="277"/>
      <c r="N107" s="277"/>
      <c r="O107" s="277"/>
      <c r="P107" s="277"/>
      <c r="Q107" s="277"/>
      <c r="R107" s="277"/>
      <c r="S107" s="277"/>
      <c r="T107" s="277"/>
      <c r="U107" s="277"/>
      <c r="V107" s="277"/>
      <c r="W107" s="277"/>
      <c r="X107" s="277"/>
      <c r="Y107" s="277"/>
      <c r="Z107" s="277"/>
      <c r="AA107" s="277"/>
      <c r="AB107" s="277"/>
      <c r="AC107" s="277"/>
      <c r="AD107" s="277"/>
      <c r="AE107" s="277"/>
      <c r="AF107" s="277"/>
      <c r="AG107" s="277"/>
      <c r="AH107" s="277"/>
      <c r="AI107" s="277"/>
      <c r="AJ107" s="277"/>
      <c r="AK107" s="277"/>
      <c r="AL107" s="277"/>
      <c r="AM107" s="277"/>
      <c r="AN107" s="277"/>
      <c r="AO107" s="277"/>
      <c r="AP107" s="277"/>
      <c r="AQ107" s="278"/>
      <c r="AR107" s="1"/>
      <c r="AS107" s="1"/>
      <c r="AT107" s="1"/>
      <c r="AU107" s="1"/>
      <c r="AV107" s="1"/>
      <c r="AW107" s="1"/>
      <c r="AX107" s="1"/>
      <c r="AY107" s="1"/>
      <c r="AZ107" s="358" t="s">
        <v>1259</v>
      </c>
      <c r="BA107" s="358"/>
      <c r="BB107" s="358"/>
      <c r="BC107" s="358"/>
      <c r="BD107" s="358"/>
      <c r="BE107" s="358"/>
      <c r="BF107" s="358"/>
      <c r="BG107" s="358"/>
      <c r="BH107" s="358"/>
      <c r="BI107" s="358"/>
      <c r="BJ107" s="358"/>
      <c r="BK107" s="1"/>
      <c r="BL107" s="5"/>
      <c r="BM107" s="1"/>
      <c r="BN107" s="1"/>
      <c r="BO107" s="1"/>
      <c r="BP107" s="1"/>
      <c r="BQ107" s="1"/>
      <c r="BR107" s="1"/>
      <c r="BS107" s="1"/>
    </row>
    <row r="108" spans="1:71" ht="7.5" customHeight="1" x14ac:dyDescent="0.25">
      <c r="A108" s="6"/>
      <c r="B108" s="1"/>
      <c r="C108" s="1"/>
      <c r="D108" s="1"/>
      <c r="E108" s="1"/>
      <c r="F108" s="1"/>
      <c r="G108" s="279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100"/>
      <c r="AD108" s="100"/>
      <c r="AE108" s="100"/>
      <c r="AF108" s="100"/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280"/>
      <c r="AR108" s="1"/>
      <c r="AS108" s="1"/>
      <c r="AT108" s="1"/>
      <c r="AU108" s="1"/>
      <c r="AV108" s="1"/>
      <c r="AW108" s="1"/>
      <c r="AX108" s="1"/>
      <c r="AY108" s="1"/>
      <c r="AZ108" s="358"/>
      <c r="BA108" s="358"/>
      <c r="BB108" s="358"/>
      <c r="BC108" s="358"/>
      <c r="BD108" s="358"/>
      <c r="BE108" s="358"/>
      <c r="BF108" s="358"/>
      <c r="BG108" s="358"/>
      <c r="BH108" s="358"/>
      <c r="BI108" s="358"/>
      <c r="BJ108" s="358"/>
      <c r="BK108" s="1"/>
      <c r="BL108" s="5"/>
      <c r="BM108" s="1"/>
      <c r="BN108" s="1"/>
      <c r="BO108" s="1"/>
      <c r="BP108" s="1"/>
      <c r="BQ108" s="1"/>
      <c r="BR108" s="1"/>
      <c r="BS108" s="1"/>
    </row>
    <row r="109" spans="1:71" ht="7.5" customHeight="1" thickBot="1" x14ac:dyDescent="0.3">
      <c r="A109" s="6"/>
      <c r="B109" s="1"/>
      <c r="C109" s="1"/>
      <c r="D109" s="1"/>
      <c r="E109" s="1"/>
      <c r="F109" s="1"/>
      <c r="G109" s="281"/>
      <c r="H109" s="282"/>
      <c r="I109" s="282"/>
      <c r="J109" s="282"/>
      <c r="K109" s="282"/>
      <c r="L109" s="282"/>
      <c r="M109" s="282"/>
      <c r="N109" s="282"/>
      <c r="O109" s="282"/>
      <c r="P109" s="282"/>
      <c r="Q109" s="282"/>
      <c r="R109" s="282"/>
      <c r="S109" s="282"/>
      <c r="T109" s="282"/>
      <c r="U109" s="282"/>
      <c r="V109" s="282"/>
      <c r="W109" s="282"/>
      <c r="X109" s="282"/>
      <c r="Y109" s="282"/>
      <c r="Z109" s="282"/>
      <c r="AA109" s="282"/>
      <c r="AB109" s="282"/>
      <c r="AC109" s="282"/>
      <c r="AD109" s="282"/>
      <c r="AE109" s="282"/>
      <c r="AF109" s="282"/>
      <c r="AG109" s="282"/>
      <c r="AH109" s="282"/>
      <c r="AI109" s="282"/>
      <c r="AJ109" s="282"/>
      <c r="AK109" s="282"/>
      <c r="AL109" s="282"/>
      <c r="AM109" s="282"/>
      <c r="AN109" s="282"/>
      <c r="AO109" s="282"/>
      <c r="AP109" s="282"/>
      <c r="AQ109" s="283"/>
      <c r="AR109" s="1"/>
      <c r="AS109" s="1"/>
      <c r="AT109" s="1"/>
      <c r="AU109" s="1"/>
      <c r="AV109" s="1"/>
      <c r="AW109" s="1"/>
      <c r="AX109" s="1"/>
      <c r="AY109" s="1"/>
      <c r="AZ109" s="358"/>
      <c r="BA109" s="358"/>
      <c r="BB109" s="358"/>
      <c r="BC109" s="358"/>
      <c r="BD109" s="358"/>
      <c r="BE109" s="358"/>
      <c r="BF109" s="358"/>
      <c r="BG109" s="358"/>
      <c r="BH109" s="358"/>
      <c r="BI109" s="358"/>
      <c r="BJ109" s="358"/>
      <c r="BK109" s="1"/>
      <c r="BL109" s="5"/>
      <c r="BM109" s="1"/>
      <c r="BN109" s="1"/>
      <c r="BO109" s="1"/>
      <c r="BP109" s="1"/>
      <c r="BQ109" s="1"/>
      <c r="BR109" s="1"/>
      <c r="BS109" s="1"/>
    </row>
    <row r="110" spans="1:71" ht="7.5" customHeight="1" thickTop="1" x14ac:dyDescent="0.25">
      <c r="A110" s="6"/>
      <c r="B110" s="1"/>
      <c r="C110" s="1"/>
      <c r="D110" s="1"/>
      <c r="E110" s="1"/>
      <c r="F110" s="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1"/>
      <c r="AS110" s="1"/>
      <c r="AT110" s="1"/>
      <c r="AU110" s="1"/>
      <c r="AV110" s="1"/>
      <c r="AW110" s="1"/>
      <c r="AX110" s="1"/>
      <c r="AY110" s="1"/>
      <c r="AZ110" s="42"/>
      <c r="BA110" s="42"/>
      <c r="BB110" s="42"/>
      <c r="BC110" s="42"/>
      <c r="BD110" s="42"/>
      <c r="BE110" s="42"/>
      <c r="BF110" s="42"/>
      <c r="BG110" s="42"/>
      <c r="BH110" s="1"/>
      <c r="BI110" s="1"/>
      <c r="BJ110" s="1"/>
      <c r="BK110" s="1"/>
      <c r="BL110" s="5"/>
      <c r="BM110" s="1"/>
      <c r="BN110" s="1"/>
      <c r="BO110" s="1"/>
      <c r="BP110" s="1"/>
      <c r="BQ110" s="1"/>
      <c r="BR110" s="1"/>
      <c r="BS110" s="1"/>
    </row>
    <row r="111" spans="1:71" ht="7.5" customHeight="1" x14ac:dyDescent="0.25">
      <c r="A111" s="6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5"/>
      <c r="BM111" s="1"/>
      <c r="BN111" s="1"/>
      <c r="BO111" s="1"/>
      <c r="BP111" s="1"/>
      <c r="BQ111" s="1"/>
      <c r="BR111" s="1"/>
      <c r="BS111" s="1"/>
    </row>
    <row r="112" spans="1:71" ht="7.5" customHeight="1" x14ac:dyDescent="0.25">
      <c r="A112" s="6"/>
      <c r="B112" s="245" t="s">
        <v>1260</v>
      </c>
      <c r="C112" s="246"/>
      <c r="D112" s="246"/>
      <c r="E112" s="246"/>
      <c r="F112" s="246"/>
      <c r="G112" s="246"/>
      <c r="H112" s="246"/>
      <c r="I112" s="246"/>
      <c r="J112" s="246"/>
      <c r="K112" s="246"/>
      <c r="L112" s="246"/>
      <c r="M112" s="246"/>
      <c r="N112" s="246"/>
      <c r="O112" s="246"/>
      <c r="P112" s="246"/>
      <c r="Q112" s="246"/>
      <c r="R112" s="246"/>
      <c r="S112" s="246"/>
      <c r="T112" s="246"/>
      <c r="U112" s="246"/>
      <c r="V112" s="246"/>
      <c r="W112" s="246"/>
      <c r="X112" s="247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5"/>
      <c r="BM112" s="1"/>
      <c r="BN112" s="1"/>
      <c r="BO112" s="1"/>
      <c r="BP112" s="1"/>
      <c r="BQ112" s="1"/>
      <c r="BR112" s="1"/>
      <c r="BS112" s="1"/>
    </row>
    <row r="113" spans="1:71" ht="7.5" customHeight="1" x14ac:dyDescent="0.25">
      <c r="A113" s="6"/>
      <c r="B113" s="248"/>
      <c r="C113" s="249"/>
      <c r="D113" s="249"/>
      <c r="E113" s="249"/>
      <c r="F113" s="249"/>
      <c r="G113" s="249"/>
      <c r="H113" s="249"/>
      <c r="I113" s="249"/>
      <c r="J113" s="249"/>
      <c r="K113" s="249"/>
      <c r="L113" s="249"/>
      <c r="M113" s="249"/>
      <c r="N113" s="249"/>
      <c r="O113" s="249"/>
      <c r="P113" s="249"/>
      <c r="Q113" s="249"/>
      <c r="R113" s="249"/>
      <c r="S113" s="249"/>
      <c r="T113" s="249"/>
      <c r="U113" s="249"/>
      <c r="V113" s="249"/>
      <c r="W113" s="249"/>
      <c r="X113" s="250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5"/>
      <c r="BM113" s="1"/>
      <c r="BN113" s="1"/>
      <c r="BO113" s="1"/>
      <c r="BP113" s="1"/>
      <c r="BQ113" s="1"/>
      <c r="BR113" s="1"/>
      <c r="BS113" s="1"/>
    </row>
    <row r="114" spans="1:71" ht="7.5" customHeight="1" x14ac:dyDescent="0.25">
      <c r="A114" s="6"/>
      <c r="B114" s="248"/>
      <c r="C114" s="249"/>
      <c r="D114" s="249"/>
      <c r="E114" s="249"/>
      <c r="F114" s="249"/>
      <c r="G114" s="249"/>
      <c r="H114" s="249"/>
      <c r="I114" s="249"/>
      <c r="J114" s="249"/>
      <c r="K114" s="249"/>
      <c r="L114" s="249"/>
      <c r="M114" s="249"/>
      <c r="N114" s="249"/>
      <c r="O114" s="249"/>
      <c r="P114" s="249"/>
      <c r="Q114" s="249"/>
      <c r="R114" s="249"/>
      <c r="S114" s="249"/>
      <c r="T114" s="249"/>
      <c r="U114" s="249"/>
      <c r="V114" s="249"/>
      <c r="W114" s="249"/>
      <c r="X114" s="250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5"/>
      <c r="BM114" s="1"/>
      <c r="BN114" s="1"/>
      <c r="BO114" s="1"/>
      <c r="BP114" s="1"/>
      <c r="BQ114" s="1"/>
      <c r="BR114" s="1"/>
      <c r="BS114" s="1"/>
    </row>
    <row r="115" spans="1:71" ht="7.5" customHeight="1" x14ac:dyDescent="0.25">
      <c r="A115" s="6"/>
      <c r="B115" s="248"/>
      <c r="C115" s="249"/>
      <c r="D115" s="249"/>
      <c r="E115" s="249"/>
      <c r="F115" s="249"/>
      <c r="G115" s="249"/>
      <c r="H115" s="249"/>
      <c r="I115" s="249"/>
      <c r="J115" s="249"/>
      <c r="K115" s="249"/>
      <c r="L115" s="249"/>
      <c r="M115" s="249"/>
      <c r="N115" s="249"/>
      <c r="O115" s="249"/>
      <c r="P115" s="249"/>
      <c r="Q115" s="249"/>
      <c r="R115" s="249"/>
      <c r="S115" s="249"/>
      <c r="T115" s="249"/>
      <c r="U115" s="249"/>
      <c r="V115" s="249"/>
      <c r="W115" s="249"/>
      <c r="X115" s="250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5"/>
      <c r="BM115" s="1"/>
      <c r="BN115" s="1"/>
      <c r="BO115" s="1"/>
      <c r="BP115" s="1"/>
      <c r="BQ115" s="1"/>
      <c r="BR115" s="1"/>
      <c r="BS115" s="1"/>
    </row>
    <row r="116" spans="1:71" ht="7.5" customHeight="1" x14ac:dyDescent="0.25">
      <c r="A116" s="6"/>
      <c r="B116" s="251" t="s">
        <v>1261</v>
      </c>
      <c r="C116" s="252"/>
      <c r="D116" s="252"/>
      <c r="E116" s="252"/>
      <c r="F116" s="252"/>
      <c r="G116" s="252"/>
      <c r="H116" s="252"/>
      <c r="I116" s="252"/>
      <c r="J116" s="252"/>
      <c r="K116" s="252"/>
      <c r="L116" s="252"/>
      <c r="M116" s="252"/>
      <c r="N116" s="252"/>
      <c r="O116" s="252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4"/>
      <c r="AL116" s="255" t="s">
        <v>1262</v>
      </c>
      <c r="AM116" s="256"/>
      <c r="AN116" s="256"/>
      <c r="AO116" s="256"/>
      <c r="AP116" s="256"/>
      <c r="AQ116" s="256"/>
      <c r="AR116" s="256"/>
      <c r="AS116" s="256"/>
      <c r="AT116" s="256"/>
      <c r="AU116" s="256"/>
      <c r="AV116" s="256"/>
      <c r="AW116" s="256"/>
      <c r="AX116" s="256"/>
      <c r="AY116" s="256"/>
      <c r="AZ116" s="256"/>
      <c r="BA116" s="256"/>
      <c r="BB116" s="256"/>
      <c r="BC116" s="256"/>
      <c r="BD116" s="256"/>
      <c r="BE116" s="256"/>
      <c r="BF116" s="256"/>
      <c r="BG116" s="256"/>
      <c r="BH116" s="256"/>
      <c r="BI116" s="256"/>
      <c r="BJ116" s="256"/>
      <c r="BK116" s="257"/>
      <c r="BL116" s="5"/>
      <c r="BM116" s="1"/>
      <c r="BN116" s="1"/>
      <c r="BO116" s="1"/>
      <c r="BP116" s="1"/>
      <c r="BQ116" s="1"/>
      <c r="BR116" s="1"/>
      <c r="BS116" s="1"/>
    </row>
    <row r="117" spans="1:71" ht="7.5" customHeight="1" x14ac:dyDescent="0.25">
      <c r="A117" s="6"/>
      <c r="B117" s="253"/>
      <c r="C117" s="254"/>
      <c r="D117" s="254"/>
      <c r="E117" s="254"/>
      <c r="F117" s="254"/>
      <c r="G117" s="254"/>
      <c r="H117" s="254"/>
      <c r="I117" s="254"/>
      <c r="J117" s="254"/>
      <c r="K117" s="254"/>
      <c r="L117" s="254"/>
      <c r="M117" s="254"/>
      <c r="N117" s="254"/>
      <c r="O117" s="2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6"/>
      <c r="AL117" s="258"/>
      <c r="AM117" s="259"/>
      <c r="AN117" s="259"/>
      <c r="AO117" s="259"/>
      <c r="AP117" s="259"/>
      <c r="AQ117" s="259"/>
      <c r="AR117" s="259"/>
      <c r="AS117" s="259"/>
      <c r="AT117" s="259"/>
      <c r="AU117" s="259"/>
      <c r="AV117" s="259"/>
      <c r="AW117" s="259"/>
      <c r="AX117" s="259"/>
      <c r="AY117" s="259"/>
      <c r="AZ117" s="259"/>
      <c r="BA117" s="259"/>
      <c r="BB117" s="259"/>
      <c r="BC117" s="259"/>
      <c r="BD117" s="259"/>
      <c r="BE117" s="259"/>
      <c r="BF117" s="259"/>
      <c r="BG117" s="259"/>
      <c r="BH117" s="259"/>
      <c r="BI117" s="259"/>
      <c r="BJ117" s="259"/>
      <c r="BK117" s="260"/>
      <c r="BL117" s="5"/>
      <c r="BM117" s="1"/>
      <c r="BN117" s="1"/>
      <c r="BO117" s="1"/>
      <c r="BP117" s="1"/>
      <c r="BQ117" s="1"/>
      <c r="BR117" s="1"/>
      <c r="BS117" s="1"/>
    </row>
    <row r="118" spans="1:71" ht="7.5" customHeight="1" x14ac:dyDescent="0.25">
      <c r="A118" s="6"/>
      <c r="B118" s="261" t="s">
        <v>1251</v>
      </c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2"/>
      <c r="AH118" s="262"/>
      <c r="AI118" s="262"/>
      <c r="AJ118" s="262"/>
      <c r="AK118" s="263"/>
      <c r="AL118" s="261" t="s">
        <v>1356</v>
      </c>
      <c r="AM118" s="262"/>
      <c r="AN118" s="262"/>
      <c r="AO118" s="262"/>
      <c r="AP118" s="262"/>
      <c r="AQ118" s="262"/>
      <c r="AR118" s="262"/>
      <c r="AS118" s="262"/>
      <c r="AT118" s="262"/>
      <c r="AU118" s="262"/>
      <c r="AV118" s="262"/>
      <c r="AW118" s="262"/>
      <c r="AX118" s="262"/>
      <c r="AY118" s="262"/>
      <c r="AZ118" s="262"/>
      <c r="BA118" s="262"/>
      <c r="BB118" s="262"/>
      <c r="BC118" s="262"/>
      <c r="BD118" s="262"/>
      <c r="BE118" s="262"/>
      <c r="BF118" s="262"/>
      <c r="BG118" s="262"/>
      <c r="BH118" s="262"/>
      <c r="BI118" s="262"/>
      <c r="BJ118" s="262"/>
      <c r="BK118" s="263"/>
      <c r="BL118" s="5"/>
      <c r="BM118" s="1"/>
      <c r="BN118" s="1"/>
      <c r="BO118" s="1"/>
      <c r="BP118" s="1"/>
      <c r="BQ118" s="1"/>
      <c r="BR118" s="1"/>
      <c r="BS118" s="1"/>
    </row>
    <row r="119" spans="1:71" ht="7.5" customHeight="1" x14ac:dyDescent="0.25">
      <c r="A119" s="6"/>
      <c r="B119" s="261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62"/>
      <c r="S119" s="262"/>
      <c r="T119" s="262"/>
      <c r="U119" s="262"/>
      <c r="V119" s="262"/>
      <c r="W119" s="262"/>
      <c r="X119" s="262"/>
      <c r="Y119" s="262"/>
      <c r="Z119" s="262"/>
      <c r="AA119" s="262"/>
      <c r="AB119" s="262"/>
      <c r="AC119" s="262"/>
      <c r="AD119" s="262"/>
      <c r="AE119" s="262"/>
      <c r="AF119" s="262"/>
      <c r="AG119" s="262"/>
      <c r="AH119" s="262"/>
      <c r="AI119" s="262"/>
      <c r="AJ119" s="262"/>
      <c r="AK119" s="263"/>
      <c r="AL119" s="261"/>
      <c r="AM119" s="262"/>
      <c r="AN119" s="262"/>
      <c r="AO119" s="262"/>
      <c r="AP119" s="262"/>
      <c r="AQ119" s="262"/>
      <c r="AR119" s="262"/>
      <c r="AS119" s="262"/>
      <c r="AT119" s="262"/>
      <c r="AU119" s="262"/>
      <c r="AV119" s="262"/>
      <c r="AW119" s="262"/>
      <c r="AX119" s="262"/>
      <c r="AY119" s="262"/>
      <c r="AZ119" s="262"/>
      <c r="BA119" s="262"/>
      <c r="BB119" s="262"/>
      <c r="BC119" s="262"/>
      <c r="BD119" s="262"/>
      <c r="BE119" s="262"/>
      <c r="BF119" s="262"/>
      <c r="BG119" s="262"/>
      <c r="BH119" s="262"/>
      <c r="BI119" s="262"/>
      <c r="BJ119" s="262"/>
      <c r="BK119" s="263"/>
      <c r="BL119" s="5"/>
      <c r="BM119" s="1"/>
      <c r="BN119" s="1"/>
      <c r="BO119" s="1"/>
      <c r="BP119" s="1"/>
      <c r="BQ119" s="1"/>
      <c r="BR119" s="1"/>
      <c r="BS119" s="1"/>
    </row>
    <row r="120" spans="1:71" ht="7.5" customHeight="1" x14ac:dyDescent="0.25">
      <c r="A120" s="6"/>
      <c r="B120" s="261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62"/>
      <c r="S120" s="262"/>
      <c r="T120" s="262"/>
      <c r="U120" s="262"/>
      <c r="V120" s="262"/>
      <c r="W120" s="262"/>
      <c r="X120" s="262"/>
      <c r="Y120" s="262"/>
      <c r="Z120" s="262"/>
      <c r="AA120" s="262"/>
      <c r="AB120" s="262"/>
      <c r="AC120" s="262"/>
      <c r="AD120" s="262"/>
      <c r="AE120" s="262"/>
      <c r="AF120" s="262"/>
      <c r="AG120" s="262"/>
      <c r="AH120" s="262"/>
      <c r="AI120" s="262"/>
      <c r="AJ120" s="262"/>
      <c r="AK120" s="263"/>
      <c r="AL120" s="261"/>
      <c r="AM120" s="262"/>
      <c r="AN120" s="262"/>
      <c r="AO120" s="262"/>
      <c r="AP120" s="262"/>
      <c r="AQ120" s="262"/>
      <c r="AR120" s="262"/>
      <c r="AS120" s="262"/>
      <c r="AT120" s="262"/>
      <c r="AU120" s="262"/>
      <c r="AV120" s="262"/>
      <c r="AW120" s="262"/>
      <c r="AX120" s="262"/>
      <c r="AY120" s="262"/>
      <c r="AZ120" s="262"/>
      <c r="BA120" s="262"/>
      <c r="BB120" s="262"/>
      <c r="BC120" s="262"/>
      <c r="BD120" s="262"/>
      <c r="BE120" s="262"/>
      <c r="BF120" s="262"/>
      <c r="BG120" s="262"/>
      <c r="BH120" s="262"/>
      <c r="BI120" s="262"/>
      <c r="BJ120" s="262"/>
      <c r="BK120" s="263"/>
      <c r="BL120" s="5"/>
      <c r="BM120" s="1"/>
      <c r="BN120" s="1"/>
      <c r="BO120" s="1"/>
      <c r="BP120" s="1"/>
      <c r="BQ120" s="1"/>
      <c r="BR120" s="1"/>
      <c r="BS120" s="1"/>
    </row>
    <row r="121" spans="1:71" ht="7.5" customHeight="1" x14ac:dyDescent="0.25">
      <c r="A121" s="6"/>
      <c r="B121" s="264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5"/>
      <c r="P121" s="265"/>
      <c r="Q121" s="265"/>
      <c r="R121" s="265"/>
      <c r="S121" s="265"/>
      <c r="T121" s="265"/>
      <c r="U121" s="265"/>
      <c r="V121" s="265"/>
      <c r="W121" s="265"/>
      <c r="X121" s="265"/>
      <c r="Y121" s="265"/>
      <c r="Z121" s="265"/>
      <c r="AA121" s="265"/>
      <c r="AB121" s="265"/>
      <c r="AC121" s="265"/>
      <c r="AD121" s="265"/>
      <c r="AE121" s="265"/>
      <c r="AF121" s="265"/>
      <c r="AG121" s="265"/>
      <c r="AH121" s="265"/>
      <c r="AI121" s="265"/>
      <c r="AJ121" s="265"/>
      <c r="AK121" s="266"/>
      <c r="AL121" s="264"/>
      <c r="AM121" s="265"/>
      <c r="AN121" s="265"/>
      <c r="AO121" s="265"/>
      <c r="AP121" s="265"/>
      <c r="AQ121" s="265"/>
      <c r="AR121" s="265"/>
      <c r="AS121" s="265"/>
      <c r="AT121" s="265"/>
      <c r="AU121" s="265"/>
      <c r="AV121" s="265"/>
      <c r="AW121" s="265"/>
      <c r="AX121" s="265"/>
      <c r="AY121" s="265"/>
      <c r="AZ121" s="265"/>
      <c r="BA121" s="265"/>
      <c r="BB121" s="265"/>
      <c r="BC121" s="265"/>
      <c r="BD121" s="265"/>
      <c r="BE121" s="265"/>
      <c r="BF121" s="265"/>
      <c r="BG121" s="265"/>
      <c r="BH121" s="265"/>
      <c r="BI121" s="265"/>
      <c r="BJ121" s="265"/>
      <c r="BK121" s="266"/>
      <c r="BL121" s="5"/>
      <c r="BM121" s="1"/>
      <c r="BN121" s="1"/>
      <c r="BO121" s="1"/>
      <c r="BP121" s="1"/>
      <c r="BQ121" s="1"/>
      <c r="BR121" s="1"/>
      <c r="BS121" s="1"/>
    </row>
    <row r="122" spans="1:71" ht="7.5" customHeight="1" x14ac:dyDescent="0.25">
      <c r="A122" s="6"/>
      <c r="B122" s="255" t="s">
        <v>1263</v>
      </c>
      <c r="C122" s="256"/>
      <c r="D122" s="256"/>
      <c r="E122" s="256"/>
      <c r="F122" s="256"/>
      <c r="G122" s="256"/>
      <c r="H122" s="256"/>
      <c r="I122" s="256"/>
      <c r="J122" s="256"/>
      <c r="K122" s="256"/>
      <c r="L122" s="256"/>
      <c r="M122" s="256"/>
      <c r="N122" s="256"/>
      <c r="O122" s="256"/>
      <c r="P122" s="256"/>
      <c r="Q122" s="257"/>
      <c r="R122" s="267" t="s">
        <v>1264</v>
      </c>
      <c r="S122" s="267"/>
      <c r="T122" s="267"/>
      <c r="U122" s="267"/>
      <c r="V122" s="267"/>
      <c r="W122" s="267"/>
      <c r="X122" s="267"/>
      <c r="Y122" s="267"/>
      <c r="Z122" s="267"/>
      <c r="AA122" s="267"/>
      <c r="AB122" s="267"/>
      <c r="AC122" s="267"/>
      <c r="AD122" s="267"/>
      <c r="AE122" s="267"/>
      <c r="AF122" s="267"/>
      <c r="AG122" s="267"/>
      <c r="AH122" s="267"/>
      <c r="AI122" s="267"/>
      <c r="AJ122" s="267"/>
      <c r="AK122" s="267"/>
      <c r="AL122" s="267"/>
      <c r="AM122" s="267"/>
      <c r="AN122" s="267"/>
      <c r="AO122" s="267"/>
      <c r="AP122" s="267"/>
      <c r="AQ122" s="267"/>
      <c r="AR122" s="267"/>
      <c r="AS122" s="268"/>
      <c r="AT122" s="255" t="s">
        <v>1265</v>
      </c>
      <c r="AU122" s="256"/>
      <c r="AV122" s="256"/>
      <c r="AW122" s="256"/>
      <c r="AX122" s="256"/>
      <c r="AY122" s="256"/>
      <c r="AZ122" s="256"/>
      <c r="BA122" s="256"/>
      <c r="BB122" s="256"/>
      <c r="BC122" s="256"/>
      <c r="BD122" s="256"/>
      <c r="BE122" s="256"/>
      <c r="BF122" s="256"/>
      <c r="BG122" s="256"/>
      <c r="BH122" s="256"/>
      <c r="BI122" s="256"/>
      <c r="BJ122" s="256"/>
      <c r="BK122" s="257"/>
      <c r="BL122" s="5"/>
      <c r="BM122" s="1"/>
      <c r="BN122" s="1"/>
      <c r="BO122" s="1"/>
      <c r="BP122" s="1"/>
      <c r="BQ122" s="1"/>
      <c r="BR122" s="1"/>
      <c r="BS122" s="1"/>
    </row>
    <row r="123" spans="1:71" ht="7.5" customHeight="1" x14ac:dyDescent="0.25">
      <c r="A123" s="6"/>
      <c r="B123" s="258"/>
      <c r="C123" s="259"/>
      <c r="D123" s="259"/>
      <c r="E123" s="259"/>
      <c r="F123" s="259"/>
      <c r="G123" s="259"/>
      <c r="H123" s="259"/>
      <c r="I123" s="259"/>
      <c r="J123" s="259"/>
      <c r="K123" s="259"/>
      <c r="L123" s="259"/>
      <c r="M123" s="259"/>
      <c r="N123" s="259"/>
      <c r="O123" s="259"/>
      <c r="P123" s="259"/>
      <c r="Q123" s="260"/>
      <c r="R123" s="269"/>
      <c r="S123" s="269"/>
      <c r="T123" s="269"/>
      <c r="U123" s="269"/>
      <c r="V123" s="269"/>
      <c r="W123" s="269"/>
      <c r="X123" s="269"/>
      <c r="Y123" s="269"/>
      <c r="Z123" s="269"/>
      <c r="AA123" s="269"/>
      <c r="AB123" s="269"/>
      <c r="AC123" s="269"/>
      <c r="AD123" s="269"/>
      <c r="AE123" s="269"/>
      <c r="AF123" s="269"/>
      <c r="AG123" s="269"/>
      <c r="AH123" s="269"/>
      <c r="AI123" s="269"/>
      <c r="AJ123" s="269"/>
      <c r="AK123" s="269"/>
      <c r="AL123" s="269"/>
      <c r="AM123" s="269"/>
      <c r="AN123" s="269"/>
      <c r="AO123" s="269"/>
      <c r="AP123" s="269"/>
      <c r="AQ123" s="269"/>
      <c r="AR123" s="269"/>
      <c r="AS123" s="270"/>
      <c r="AT123" s="258"/>
      <c r="AU123" s="259"/>
      <c r="AV123" s="259"/>
      <c r="AW123" s="259"/>
      <c r="AX123" s="259"/>
      <c r="AY123" s="259"/>
      <c r="AZ123" s="259"/>
      <c r="BA123" s="259"/>
      <c r="BB123" s="259"/>
      <c r="BC123" s="259"/>
      <c r="BD123" s="259"/>
      <c r="BE123" s="259"/>
      <c r="BF123" s="259"/>
      <c r="BG123" s="259"/>
      <c r="BH123" s="259"/>
      <c r="BI123" s="259"/>
      <c r="BJ123" s="259"/>
      <c r="BK123" s="260"/>
      <c r="BL123" s="5"/>
      <c r="BM123" s="1"/>
      <c r="BN123" s="1"/>
      <c r="BO123" s="1"/>
      <c r="BP123" s="1"/>
      <c r="BQ123" s="1"/>
      <c r="BR123" s="1"/>
      <c r="BS123" s="1"/>
    </row>
    <row r="124" spans="1:71" ht="7.5" customHeight="1" x14ac:dyDescent="0.25">
      <c r="A124" s="6"/>
      <c r="B124" s="261" t="s">
        <v>1231</v>
      </c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3"/>
      <c r="R124" s="302" t="s">
        <v>1266</v>
      </c>
      <c r="S124" s="302"/>
      <c r="T124" s="302"/>
      <c r="U124" s="302"/>
      <c r="V124" s="302"/>
      <c r="W124" s="302"/>
      <c r="X124" s="302"/>
      <c r="Y124" s="302"/>
      <c r="Z124" s="302"/>
      <c r="AA124" s="302"/>
      <c r="AB124" s="302"/>
      <c r="AC124" s="302"/>
      <c r="AD124" s="302"/>
      <c r="AE124" s="302"/>
      <c r="AF124" s="302"/>
      <c r="AG124" s="302"/>
      <c r="AH124" s="302"/>
      <c r="AI124" s="302"/>
      <c r="AJ124" s="302"/>
      <c r="AK124" s="302"/>
      <c r="AL124" s="302"/>
      <c r="AM124" s="302"/>
      <c r="AN124" s="302"/>
      <c r="AO124" s="302"/>
      <c r="AP124" s="302"/>
      <c r="AQ124" s="302"/>
      <c r="AR124" s="302"/>
      <c r="AS124" s="303"/>
      <c r="AT124" s="159" t="s">
        <v>1230</v>
      </c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1"/>
      <c r="BK124" s="122"/>
      <c r="BL124" s="5"/>
      <c r="BM124" s="1"/>
      <c r="BN124" s="1"/>
      <c r="BO124" s="1"/>
      <c r="BP124" s="1"/>
      <c r="BQ124" s="1"/>
      <c r="BR124" s="1"/>
      <c r="BS124" s="1"/>
    </row>
    <row r="125" spans="1:71" ht="7.5" customHeight="1" x14ac:dyDescent="0.25">
      <c r="A125" s="6"/>
      <c r="B125" s="261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3"/>
      <c r="R125" s="302"/>
      <c r="S125" s="302"/>
      <c r="T125" s="302"/>
      <c r="U125" s="302"/>
      <c r="V125" s="302"/>
      <c r="W125" s="302"/>
      <c r="X125" s="302"/>
      <c r="Y125" s="302"/>
      <c r="Z125" s="302"/>
      <c r="AA125" s="302"/>
      <c r="AB125" s="302"/>
      <c r="AC125" s="302"/>
      <c r="AD125" s="302"/>
      <c r="AE125" s="302"/>
      <c r="AF125" s="302"/>
      <c r="AG125" s="302"/>
      <c r="AH125" s="302"/>
      <c r="AI125" s="302"/>
      <c r="AJ125" s="302"/>
      <c r="AK125" s="302"/>
      <c r="AL125" s="302"/>
      <c r="AM125" s="302"/>
      <c r="AN125" s="302"/>
      <c r="AO125" s="302"/>
      <c r="AP125" s="302"/>
      <c r="AQ125" s="302"/>
      <c r="AR125" s="302"/>
      <c r="AS125" s="303"/>
      <c r="AT125" s="159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1"/>
      <c r="BK125" s="122"/>
      <c r="BL125" s="5"/>
      <c r="BM125" s="1"/>
      <c r="BN125" s="1"/>
      <c r="BO125" s="1"/>
      <c r="BP125" s="1"/>
      <c r="BQ125" s="1"/>
      <c r="BR125" s="1"/>
      <c r="BS125" s="1"/>
    </row>
    <row r="126" spans="1:71" ht="7.5" customHeight="1" x14ac:dyDescent="0.25">
      <c r="A126" s="6"/>
      <c r="B126" s="261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3"/>
      <c r="R126" s="302"/>
      <c r="S126" s="302"/>
      <c r="T126" s="302"/>
      <c r="U126" s="302"/>
      <c r="V126" s="302"/>
      <c r="W126" s="302"/>
      <c r="X126" s="302"/>
      <c r="Y126" s="302"/>
      <c r="Z126" s="302"/>
      <c r="AA126" s="302"/>
      <c r="AB126" s="302"/>
      <c r="AC126" s="302"/>
      <c r="AD126" s="302"/>
      <c r="AE126" s="302"/>
      <c r="AF126" s="302"/>
      <c r="AG126" s="302"/>
      <c r="AH126" s="302"/>
      <c r="AI126" s="302"/>
      <c r="AJ126" s="302"/>
      <c r="AK126" s="302"/>
      <c r="AL126" s="302"/>
      <c r="AM126" s="302"/>
      <c r="AN126" s="302"/>
      <c r="AO126" s="302"/>
      <c r="AP126" s="302"/>
      <c r="AQ126" s="302"/>
      <c r="AR126" s="302"/>
      <c r="AS126" s="303"/>
      <c r="AT126" s="159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1"/>
      <c r="BK126" s="122"/>
      <c r="BL126" s="5"/>
      <c r="BM126" s="1"/>
      <c r="BN126" s="1"/>
      <c r="BO126" s="1"/>
      <c r="BP126" s="1"/>
      <c r="BQ126" s="1"/>
      <c r="BR126" s="1"/>
      <c r="BS126" s="1"/>
    </row>
    <row r="127" spans="1:71" ht="7.5" customHeight="1" x14ac:dyDescent="0.25">
      <c r="A127" s="6"/>
      <c r="B127" s="264"/>
      <c r="C127" s="265"/>
      <c r="D127" s="265"/>
      <c r="E127" s="265"/>
      <c r="F127" s="265"/>
      <c r="G127" s="265"/>
      <c r="H127" s="265"/>
      <c r="I127" s="265"/>
      <c r="J127" s="265"/>
      <c r="K127" s="265"/>
      <c r="L127" s="265"/>
      <c r="M127" s="265"/>
      <c r="N127" s="265"/>
      <c r="O127" s="265"/>
      <c r="P127" s="265"/>
      <c r="Q127" s="266"/>
      <c r="R127" s="304"/>
      <c r="S127" s="304"/>
      <c r="T127" s="304"/>
      <c r="U127" s="304"/>
      <c r="V127" s="304"/>
      <c r="W127" s="304"/>
      <c r="X127" s="304"/>
      <c r="Y127" s="304"/>
      <c r="Z127" s="304"/>
      <c r="AA127" s="304"/>
      <c r="AB127" s="304"/>
      <c r="AC127" s="304"/>
      <c r="AD127" s="304"/>
      <c r="AE127" s="304"/>
      <c r="AF127" s="304"/>
      <c r="AG127" s="304"/>
      <c r="AH127" s="304"/>
      <c r="AI127" s="304"/>
      <c r="AJ127" s="304"/>
      <c r="AK127" s="304"/>
      <c r="AL127" s="304"/>
      <c r="AM127" s="304"/>
      <c r="AN127" s="304"/>
      <c r="AO127" s="304"/>
      <c r="AP127" s="304"/>
      <c r="AQ127" s="304"/>
      <c r="AR127" s="304"/>
      <c r="AS127" s="305"/>
      <c r="AT127" s="161"/>
      <c r="AU127" s="124"/>
      <c r="AV127" s="124"/>
      <c r="AW127" s="124"/>
      <c r="AX127" s="124"/>
      <c r="AY127" s="124"/>
      <c r="AZ127" s="124"/>
      <c r="BA127" s="124"/>
      <c r="BB127" s="124"/>
      <c r="BC127" s="124"/>
      <c r="BD127" s="124"/>
      <c r="BE127" s="124"/>
      <c r="BF127" s="124"/>
      <c r="BG127" s="124"/>
      <c r="BH127" s="124"/>
      <c r="BI127" s="124"/>
      <c r="BJ127" s="124"/>
      <c r="BK127" s="125"/>
      <c r="BL127" s="5"/>
      <c r="BM127" s="1"/>
      <c r="BN127" s="1"/>
      <c r="BO127" s="1"/>
      <c r="BP127" s="1"/>
      <c r="BQ127" s="1"/>
      <c r="BR127" s="1"/>
      <c r="BS127" s="1"/>
    </row>
    <row r="128" spans="1:71" ht="7.5" customHeight="1" x14ac:dyDescent="0.25">
      <c r="A128" s="6"/>
      <c r="B128" s="306" t="s">
        <v>1267</v>
      </c>
      <c r="C128" s="307"/>
      <c r="D128" s="307"/>
      <c r="E128" s="307"/>
      <c r="F128" s="307"/>
      <c r="G128" s="307"/>
      <c r="H128" s="307"/>
      <c r="I128" s="307"/>
      <c r="J128" s="307"/>
      <c r="K128" s="307"/>
      <c r="L128" s="307"/>
      <c r="M128" s="308"/>
      <c r="N128" s="315" t="s">
        <v>1268</v>
      </c>
      <c r="O128" s="316"/>
      <c r="P128" s="316"/>
      <c r="Q128" s="316"/>
      <c r="R128" s="316"/>
      <c r="S128" s="316"/>
      <c r="T128" s="316"/>
      <c r="U128" s="316"/>
      <c r="V128" s="316"/>
      <c r="W128" s="316"/>
      <c r="X128" s="316"/>
      <c r="Y128" s="316"/>
      <c r="Z128" s="316"/>
      <c r="AA128" s="316"/>
      <c r="AB128" s="316"/>
      <c r="AC128" s="316"/>
      <c r="AD128" s="316"/>
      <c r="AE128" s="317"/>
      <c r="AF128" s="306" t="s">
        <v>1269</v>
      </c>
      <c r="AG128" s="307"/>
      <c r="AH128" s="307"/>
      <c r="AI128" s="307"/>
      <c r="AJ128" s="307"/>
      <c r="AK128" s="307"/>
      <c r="AL128" s="307"/>
      <c r="AM128" s="307"/>
      <c r="AN128" s="307"/>
      <c r="AO128" s="307"/>
      <c r="AP128" s="307"/>
      <c r="AQ128" s="307"/>
      <c r="AR128" s="307"/>
      <c r="AS128" s="308"/>
      <c r="AT128" s="320" t="s">
        <v>1270</v>
      </c>
      <c r="AU128" s="320"/>
      <c r="AV128" s="320"/>
      <c r="AW128" s="320"/>
      <c r="AX128" s="320"/>
      <c r="AY128" s="320"/>
      <c r="AZ128" s="320"/>
      <c r="BA128" s="320"/>
      <c r="BB128" s="320"/>
      <c r="BC128" s="320"/>
      <c r="BD128" s="320"/>
      <c r="BE128" s="320"/>
      <c r="BF128" s="320"/>
      <c r="BG128" s="320"/>
      <c r="BH128" s="320"/>
      <c r="BI128" s="320"/>
      <c r="BJ128" s="320"/>
      <c r="BK128" s="320"/>
      <c r="BL128" s="5"/>
      <c r="BM128" s="1"/>
      <c r="BN128" s="1"/>
      <c r="BO128" s="1"/>
      <c r="BP128" s="1"/>
      <c r="BQ128" s="1"/>
      <c r="BR128" s="1"/>
      <c r="BS128" s="1"/>
    </row>
    <row r="129" spans="1:96" ht="7.5" customHeight="1" x14ac:dyDescent="0.25">
      <c r="A129" s="6"/>
      <c r="B129" s="309"/>
      <c r="C129" s="310"/>
      <c r="D129" s="310"/>
      <c r="E129" s="310"/>
      <c r="F129" s="310"/>
      <c r="G129" s="310"/>
      <c r="H129" s="310"/>
      <c r="I129" s="310"/>
      <c r="J129" s="310"/>
      <c r="K129" s="310"/>
      <c r="L129" s="310"/>
      <c r="M129" s="311"/>
      <c r="N129" s="318"/>
      <c r="O129" s="302"/>
      <c r="P129" s="302"/>
      <c r="Q129" s="302"/>
      <c r="R129" s="302"/>
      <c r="S129" s="302"/>
      <c r="T129" s="302"/>
      <c r="U129" s="302"/>
      <c r="V129" s="302"/>
      <c r="W129" s="302"/>
      <c r="X129" s="302"/>
      <c r="Y129" s="302"/>
      <c r="Z129" s="302"/>
      <c r="AA129" s="302"/>
      <c r="AB129" s="302"/>
      <c r="AC129" s="302"/>
      <c r="AD129" s="302"/>
      <c r="AE129" s="303"/>
      <c r="AF129" s="309"/>
      <c r="AG129" s="310"/>
      <c r="AH129" s="310"/>
      <c r="AI129" s="310"/>
      <c r="AJ129" s="310"/>
      <c r="AK129" s="310"/>
      <c r="AL129" s="310"/>
      <c r="AM129" s="310"/>
      <c r="AN129" s="310"/>
      <c r="AO129" s="310"/>
      <c r="AP129" s="310"/>
      <c r="AQ129" s="310"/>
      <c r="AR129" s="310"/>
      <c r="AS129" s="311"/>
      <c r="AT129" s="320"/>
      <c r="AU129" s="320"/>
      <c r="AV129" s="320"/>
      <c r="AW129" s="320"/>
      <c r="AX129" s="320"/>
      <c r="AY129" s="320"/>
      <c r="AZ129" s="320"/>
      <c r="BA129" s="320"/>
      <c r="BB129" s="320"/>
      <c r="BC129" s="320"/>
      <c r="BD129" s="320"/>
      <c r="BE129" s="320"/>
      <c r="BF129" s="320"/>
      <c r="BG129" s="320"/>
      <c r="BH129" s="320"/>
      <c r="BI129" s="320"/>
      <c r="BJ129" s="320"/>
      <c r="BK129" s="320"/>
      <c r="BL129" s="5"/>
      <c r="BM129" s="47" t="s">
        <v>1271</v>
      </c>
      <c r="BN129" s="1"/>
      <c r="BO129" s="1"/>
      <c r="BP129" s="1"/>
      <c r="BQ129" s="1"/>
      <c r="BR129" s="1"/>
      <c r="BS129" s="1"/>
    </row>
    <row r="130" spans="1:96" ht="7.5" customHeight="1" x14ac:dyDescent="0.25">
      <c r="A130" s="6"/>
      <c r="B130" s="309"/>
      <c r="C130" s="310"/>
      <c r="D130" s="310"/>
      <c r="E130" s="310"/>
      <c r="F130" s="310"/>
      <c r="G130" s="310"/>
      <c r="H130" s="310"/>
      <c r="I130" s="310"/>
      <c r="J130" s="310"/>
      <c r="K130" s="310"/>
      <c r="L130" s="310"/>
      <c r="M130" s="311"/>
      <c r="N130" s="318"/>
      <c r="O130" s="302"/>
      <c r="P130" s="302"/>
      <c r="Q130" s="302"/>
      <c r="R130" s="302"/>
      <c r="S130" s="302"/>
      <c r="T130" s="302"/>
      <c r="U130" s="302"/>
      <c r="V130" s="302"/>
      <c r="W130" s="302"/>
      <c r="X130" s="302"/>
      <c r="Y130" s="302"/>
      <c r="Z130" s="302"/>
      <c r="AA130" s="302"/>
      <c r="AB130" s="302"/>
      <c r="AC130" s="302"/>
      <c r="AD130" s="302"/>
      <c r="AE130" s="303"/>
      <c r="AF130" s="48"/>
      <c r="AG130" s="49"/>
      <c r="AH130" s="321" t="s">
        <v>1272</v>
      </c>
      <c r="AI130" s="321"/>
      <c r="AJ130" s="321"/>
      <c r="AK130" s="49"/>
      <c r="AL130" s="49"/>
      <c r="AM130" s="49"/>
      <c r="AN130" s="49"/>
      <c r="AO130" s="321" t="s">
        <v>1273</v>
      </c>
      <c r="AP130" s="321"/>
      <c r="AQ130" s="321"/>
      <c r="AR130" s="49"/>
      <c r="AS130" s="50"/>
      <c r="AT130" s="320"/>
      <c r="AU130" s="320"/>
      <c r="AV130" s="320"/>
      <c r="AW130" s="320"/>
      <c r="AX130" s="320"/>
      <c r="AY130" s="320"/>
      <c r="AZ130" s="320"/>
      <c r="BA130" s="320"/>
      <c r="BB130" s="320"/>
      <c r="BC130" s="320"/>
      <c r="BD130" s="320"/>
      <c r="BE130" s="320"/>
      <c r="BF130" s="320"/>
      <c r="BG130" s="320"/>
      <c r="BH130" s="320"/>
      <c r="BI130" s="320"/>
      <c r="BJ130" s="320"/>
      <c r="BK130" s="320"/>
      <c r="BL130" s="5"/>
      <c r="BM130" s="47" t="s">
        <v>1271</v>
      </c>
      <c r="BN130" s="1"/>
      <c r="BO130" s="1"/>
      <c r="BP130" s="1"/>
      <c r="BQ130" s="1"/>
      <c r="BR130" s="1"/>
      <c r="BS130" s="1"/>
    </row>
    <row r="131" spans="1:96" ht="7.5" customHeight="1" x14ac:dyDescent="0.25">
      <c r="A131" s="6"/>
      <c r="B131" s="309"/>
      <c r="C131" s="310"/>
      <c r="D131" s="310"/>
      <c r="E131" s="310"/>
      <c r="F131" s="310"/>
      <c r="G131" s="310"/>
      <c r="H131" s="310"/>
      <c r="I131" s="310"/>
      <c r="J131" s="310"/>
      <c r="K131" s="310"/>
      <c r="L131" s="310"/>
      <c r="M131" s="311"/>
      <c r="N131" s="318"/>
      <c r="O131" s="302"/>
      <c r="P131" s="302"/>
      <c r="Q131" s="302"/>
      <c r="R131" s="302"/>
      <c r="S131" s="302"/>
      <c r="T131" s="302"/>
      <c r="U131" s="302"/>
      <c r="V131" s="302"/>
      <c r="W131" s="302"/>
      <c r="X131" s="302"/>
      <c r="Y131" s="302"/>
      <c r="Z131" s="302"/>
      <c r="AA131" s="302"/>
      <c r="AB131" s="302"/>
      <c r="AC131" s="302"/>
      <c r="AD131" s="302"/>
      <c r="AE131" s="303"/>
      <c r="AF131" s="48"/>
      <c r="AG131" s="51" t="str">
        <f>IF(BM129="YES","x"," ")</f>
        <v xml:space="preserve"> </v>
      </c>
      <c r="AH131" s="321"/>
      <c r="AI131" s="321"/>
      <c r="AJ131" s="321"/>
      <c r="AK131" s="49"/>
      <c r="AL131" s="49"/>
      <c r="AM131" s="49"/>
      <c r="AN131" s="51" t="str">
        <f>IF(BM129="NO","x"," ")</f>
        <v>x</v>
      </c>
      <c r="AO131" s="321"/>
      <c r="AP131" s="321"/>
      <c r="AQ131" s="321"/>
      <c r="AR131" s="49"/>
      <c r="AS131" s="50"/>
      <c r="AT131" s="320"/>
      <c r="AU131" s="320"/>
      <c r="AV131" s="320"/>
      <c r="AW131" s="320"/>
      <c r="AX131" s="320"/>
      <c r="AY131" s="320"/>
      <c r="AZ131" s="320"/>
      <c r="BA131" s="320"/>
      <c r="BB131" s="320"/>
      <c r="BC131" s="320"/>
      <c r="BD131" s="320"/>
      <c r="BE131" s="320"/>
      <c r="BF131" s="320"/>
      <c r="BG131" s="320"/>
      <c r="BH131" s="320"/>
      <c r="BI131" s="320"/>
      <c r="BJ131" s="320"/>
      <c r="BK131" s="320"/>
      <c r="BL131" s="5"/>
      <c r="BM131" s="1"/>
      <c r="BN131" s="1"/>
      <c r="BO131" s="1"/>
      <c r="BP131" s="1"/>
      <c r="BQ131" s="1"/>
      <c r="BR131" s="1"/>
      <c r="BS131" s="1"/>
    </row>
    <row r="132" spans="1:96" ht="7.5" customHeight="1" x14ac:dyDescent="0.25">
      <c r="A132" s="6"/>
      <c r="B132" s="312"/>
      <c r="C132" s="313"/>
      <c r="D132" s="313"/>
      <c r="E132" s="313"/>
      <c r="F132" s="313"/>
      <c r="G132" s="313"/>
      <c r="H132" s="313"/>
      <c r="I132" s="313"/>
      <c r="J132" s="313"/>
      <c r="K132" s="313"/>
      <c r="L132" s="313"/>
      <c r="M132" s="314"/>
      <c r="N132" s="319"/>
      <c r="O132" s="304"/>
      <c r="P132" s="304"/>
      <c r="Q132" s="304"/>
      <c r="R132" s="304"/>
      <c r="S132" s="304"/>
      <c r="T132" s="304"/>
      <c r="U132" s="304"/>
      <c r="V132" s="304"/>
      <c r="W132" s="304"/>
      <c r="X132" s="304"/>
      <c r="Y132" s="304"/>
      <c r="Z132" s="304"/>
      <c r="AA132" s="304"/>
      <c r="AB132" s="304"/>
      <c r="AC132" s="304"/>
      <c r="AD132" s="304"/>
      <c r="AE132" s="305"/>
      <c r="AF132" s="52"/>
      <c r="AG132" s="53"/>
      <c r="AH132" s="322"/>
      <c r="AI132" s="322"/>
      <c r="AJ132" s="322"/>
      <c r="AK132" s="53"/>
      <c r="AL132" s="53"/>
      <c r="AM132" s="53"/>
      <c r="AN132" s="53"/>
      <c r="AO132" s="322"/>
      <c r="AP132" s="322"/>
      <c r="AQ132" s="322"/>
      <c r="AR132" s="53"/>
      <c r="AS132" s="54"/>
      <c r="AT132" s="320"/>
      <c r="AU132" s="320"/>
      <c r="AV132" s="320"/>
      <c r="AW132" s="320"/>
      <c r="AX132" s="320"/>
      <c r="AY132" s="320"/>
      <c r="AZ132" s="320"/>
      <c r="BA132" s="320"/>
      <c r="BB132" s="320"/>
      <c r="BC132" s="320"/>
      <c r="BD132" s="320"/>
      <c r="BE132" s="320"/>
      <c r="BF132" s="320"/>
      <c r="BG132" s="320"/>
      <c r="BH132" s="320"/>
      <c r="BI132" s="320"/>
      <c r="BJ132" s="320"/>
      <c r="BK132" s="320"/>
      <c r="BL132" s="5"/>
      <c r="BM132" s="1"/>
      <c r="BN132" s="1"/>
      <c r="BO132" s="1"/>
      <c r="BP132" s="1"/>
      <c r="BQ132" s="1"/>
      <c r="BR132" s="1"/>
      <c r="BS132" s="1"/>
    </row>
    <row r="133" spans="1:96" ht="7.5" customHeight="1" x14ac:dyDescent="0.25">
      <c r="A133" s="6"/>
      <c r="B133" s="275"/>
      <c r="C133" s="275"/>
      <c r="D133" s="275"/>
      <c r="E133" s="275"/>
      <c r="F133" s="275"/>
      <c r="G133" s="275"/>
      <c r="H133" s="275"/>
      <c r="I133" s="275"/>
      <c r="J133" s="275"/>
      <c r="K133" s="275"/>
      <c r="L133" s="275"/>
      <c r="M133" s="275"/>
      <c r="N133" s="275"/>
      <c r="O133" s="275"/>
      <c r="P133" s="275"/>
      <c r="Q133" s="275"/>
      <c r="R133" s="275"/>
      <c r="S133" s="275"/>
      <c r="T133" s="275"/>
      <c r="U133" s="275"/>
      <c r="V133" s="275"/>
      <c r="W133" s="275"/>
      <c r="X133" s="275"/>
      <c r="Y133" s="275"/>
      <c r="Z133" s="275"/>
      <c r="AA133" s="275"/>
      <c r="AB133" s="275"/>
      <c r="AC133" s="275"/>
      <c r="AD133" s="275"/>
      <c r="AE133" s="275"/>
      <c r="AF133" s="275"/>
      <c r="AG133" s="275"/>
      <c r="AH133" s="275"/>
      <c r="AI133" s="275"/>
      <c r="AJ133" s="275"/>
      <c r="AK133" s="275"/>
      <c r="AL133" s="275"/>
      <c r="AM133" s="275"/>
      <c r="AN133" s="275"/>
      <c r="AO133" s="275"/>
      <c r="AP133" s="275"/>
      <c r="AQ133" s="275"/>
      <c r="AR133" s="275"/>
      <c r="AS133" s="275"/>
      <c r="AT133" s="273"/>
      <c r="AU133" s="273"/>
      <c r="AV133" s="273"/>
      <c r="AW133" s="273"/>
      <c r="AX133" s="273"/>
      <c r="AY133" s="273"/>
      <c r="AZ133" s="273"/>
      <c r="BA133" s="273"/>
      <c r="BB133" s="273"/>
      <c r="BC133" s="273"/>
      <c r="BD133" s="273"/>
      <c r="BE133" s="273"/>
      <c r="BF133" s="273"/>
      <c r="BG133" s="273"/>
      <c r="BH133" s="273"/>
      <c r="BI133" s="273"/>
      <c r="BJ133" s="273"/>
      <c r="BK133" s="273"/>
      <c r="BL133" s="5"/>
      <c r="BM133" s="1"/>
      <c r="BN133" s="1"/>
      <c r="BO133" s="1"/>
      <c r="BP133" s="1"/>
      <c r="BQ133" s="1"/>
      <c r="BR133" s="1"/>
      <c r="BS133" s="1"/>
    </row>
    <row r="134" spans="1:96" ht="7.5" customHeight="1" x14ac:dyDescent="0.25">
      <c r="A134" s="6"/>
      <c r="B134" s="273"/>
      <c r="C134" s="273"/>
      <c r="D134" s="273"/>
      <c r="E134" s="273"/>
      <c r="F134" s="273"/>
      <c r="G134" s="273"/>
      <c r="H134" s="273"/>
      <c r="I134" s="273"/>
      <c r="J134" s="273"/>
      <c r="K134" s="273"/>
      <c r="L134" s="273"/>
      <c r="M134" s="273"/>
      <c r="N134" s="273"/>
      <c r="O134" s="273"/>
      <c r="P134" s="273"/>
      <c r="Q134" s="273"/>
      <c r="R134" s="273"/>
      <c r="S134" s="273"/>
      <c r="T134" s="273"/>
      <c r="U134" s="273"/>
      <c r="V134" s="273"/>
      <c r="W134" s="273"/>
      <c r="X134" s="273"/>
      <c r="Y134" s="273"/>
      <c r="Z134" s="273"/>
      <c r="AA134" s="273"/>
      <c r="AB134" s="273"/>
      <c r="AC134" s="273"/>
      <c r="AD134" s="273"/>
      <c r="AE134" s="273"/>
      <c r="AF134" s="273"/>
      <c r="AG134" s="273"/>
      <c r="AH134" s="273"/>
      <c r="AI134" s="273"/>
      <c r="AJ134" s="273"/>
      <c r="AK134" s="273"/>
      <c r="AL134" s="273"/>
      <c r="AM134" s="273"/>
      <c r="AN134" s="273"/>
      <c r="AO134" s="273"/>
      <c r="AP134" s="273"/>
      <c r="AQ134" s="273"/>
      <c r="AR134" s="273"/>
      <c r="AS134" s="273"/>
      <c r="AT134" s="273"/>
      <c r="AU134" s="273"/>
      <c r="AV134" s="273"/>
      <c r="AW134" s="273"/>
      <c r="AX134" s="273"/>
      <c r="AY134" s="273"/>
      <c r="AZ134" s="273"/>
      <c r="BA134" s="273"/>
      <c r="BB134" s="273"/>
      <c r="BC134" s="273"/>
      <c r="BD134" s="273"/>
      <c r="BE134" s="273"/>
      <c r="BF134" s="273"/>
      <c r="BG134" s="273"/>
      <c r="BH134" s="273"/>
      <c r="BI134" s="273"/>
      <c r="BJ134" s="273"/>
      <c r="BK134" s="273"/>
      <c r="BL134" s="5"/>
      <c r="BM134" s="1"/>
      <c r="BN134" s="1"/>
      <c r="BO134" s="1"/>
      <c r="BP134" s="1"/>
      <c r="BQ134" s="1"/>
      <c r="BR134" s="1"/>
      <c r="BS134" s="1"/>
    </row>
    <row r="135" spans="1:96" ht="7.5" customHeight="1" x14ac:dyDescent="0.25">
      <c r="A135" s="6"/>
      <c r="B135" s="273"/>
      <c r="C135" s="273"/>
      <c r="D135" s="273"/>
      <c r="E135" s="273"/>
      <c r="F135" s="273"/>
      <c r="G135" s="273"/>
      <c r="H135" s="273"/>
      <c r="I135" s="273"/>
      <c r="J135" s="273"/>
      <c r="K135" s="273"/>
      <c r="L135" s="273"/>
      <c r="M135" s="273"/>
      <c r="N135" s="273"/>
      <c r="O135" s="273"/>
      <c r="P135" s="273"/>
      <c r="Q135" s="273"/>
      <c r="R135" s="273"/>
      <c r="S135" s="273"/>
      <c r="T135" s="273"/>
      <c r="U135" s="273"/>
      <c r="V135" s="273"/>
      <c r="W135" s="273"/>
      <c r="X135" s="273"/>
      <c r="Y135" s="273"/>
      <c r="Z135" s="273"/>
      <c r="AA135" s="273"/>
      <c r="AB135" s="273"/>
      <c r="AC135" s="273"/>
      <c r="AD135" s="273"/>
      <c r="AE135" s="273"/>
      <c r="AF135" s="273"/>
      <c r="AG135" s="273"/>
      <c r="AH135" s="273"/>
      <c r="AI135" s="273"/>
      <c r="AJ135" s="273"/>
      <c r="AK135" s="273"/>
      <c r="AL135" s="273"/>
      <c r="AM135" s="273"/>
      <c r="AN135" s="273"/>
      <c r="AO135" s="273"/>
      <c r="AP135" s="273"/>
      <c r="AQ135" s="273"/>
      <c r="AR135" s="273"/>
      <c r="AS135" s="273"/>
      <c r="AT135" s="273"/>
      <c r="AU135" s="273"/>
      <c r="AV135" s="273"/>
      <c r="AW135" s="273"/>
      <c r="AX135" s="273"/>
      <c r="AY135" s="273"/>
      <c r="AZ135" s="273"/>
      <c r="BA135" s="273"/>
      <c r="BB135" s="273"/>
      <c r="BC135" s="273"/>
      <c r="BD135" s="273"/>
      <c r="BE135" s="273"/>
      <c r="BF135" s="273"/>
      <c r="BG135" s="273"/>
      <c r="BH135" s="273"/>
      <c r="BI135" s="273"/>
      <c r="BJ135" s="273"/>
      <c r="BK135" s="273"/>
      <c r="BL135" s="5"/>
      <c r="BM135" s="1"/>
      <c r="BN135" s="1"/>
      <c r="BO135" s="1"/>
      <c r="BP135" s="1"/>
      <c r="BQ135" s="1"/>
      <c r="BR135" s="1"/>
      <c r="BS135" s="1"/>
    </row>
    <row r="136" spans="1:96" ht="7.5" customHeight="1" x14ac:dyDescent="0.25">
      <c r="A136" s="6"/>
      <c r="B136" s="245" t="s">
        <v>1274</v>
      </c>
      <c r="C136" s="246"/>
      <c r="D136" s="246"/>
      <c r="E136" s="246"/>
      <c r="F136" s="246"/>
      <c r="G136" s="246"/>
      <c r="H136" s="246"/>
      <c r="I136" s="246"/>
      <c r="J136" s="246"/>
      <c r="K136" s="246"/>
      <c r="L136" s="246"/>
      <c r="M136" s="246"/>
      <c r="N136" s="246"/>
      <c r="O136" s="246"/>
      <c r="P136" s="246"/>
      <c r="Q136" s="246"/>
      <c r="R136" s="246"/>
      <c r="S136" s="246"/>
      <c r="T136" s="246"/>
      <c r="U136" s="246"/>
      <c r="V136" s="246"/>
      <c r="W136" s="246"/>
      <c r="X136" s="246"/>
      <c r="Y136" s="246"/>
      <c r="Z136" s="246"/>
      <c r="AA136" s="247"/>
      <c r="AB136" s="287" t="s">
        <v>1275</v>
      </c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9"/>
      <c r="AX136" s="287" t="s">
        <v>1276</v>
      </c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9"/>
      <c r="BL136" s="5"/>
      <c r="BM136" s="1"/>
      <c r="BN136" s="1"/>
      <c r="BO136" s="1"/>
      <c r="BP136" s="1"/>
      <c r="BQ136" s="1"/>
      <c r="BR136" s="1"/>
      <c r="BS136" s="1"/>
    </row>
    <row r="137" spans="1:96" ht="7.5" customHeight="1" x14ac:dyDescent="0.25">
      <c r="A137" s="6"/>
      <c r="B137" s="248"/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50"/>
      <c r="AB137" s="290"/>
      <c r="AC137" s="291"/>
      <c r="AD137" s="291"/>
      <c r="AE137" s="291"/>
      <c r="AF137" s="291"/>
      <c r="AG137" s="291"/>
      <c r="AH137" s="291"/>
      <c r="AI137" s="291"/>
      <c r="AJ137" s="291"/>
      <c r="AK137" s="291"/>
      <c r="AL137" s="291"/>
      <c r="AM137" s="291"/>
      <c r="AN137" s="291"/>
      <c r="AO137" s="291"/>
      <c r="AP137" s="291"/>
      <c r="AQ137" s="291"/>
      <c r="AR137" s="291"/>
      <c r="AS137" s="291"/>
      <c r="AT137" s="291"/>
      <c r="AU137" s="291"/>
      <c r="AV137" s="291"/>
      <c r="AW137" s="292"/>
      <c r="AX137" s="290"/>
      <c r="AY137" s="291"/>
      <c r="AZ137" s="291"/>
      <c r="BA137" s="291"/>
      <c r="BB137" s="291"/>
      <c r="BC137" s="291"/>
      <c r="BD137" s="291"/>
      <c r="BE137" s="291"/>
      <c r="BF137" s="291"/>
      <c r="BG137" s="291"/>
      <c r="BH137" s="291"/>
      <c r="BI137" s="291"/>
      <c r="BJ137" s="291"/>
      <c r="BK137" s="292"/>
      <c r="BL137" s="5"/>
      <c r="BM137" s="1"/>
      <c r="BN137" s="1"/>
      <c r="BO137" s="1"/>
      <c r="BP137" s="1"/>
      <c r="BQ137" s="1"/>
      <c r="BR137" s="1"/>
      <c r="BS137" s="1"/>
      <c r="BU137" s="84"/>
      <c r="BV137" s="84"/>
      <c r="BW137" s="84"/>
      <c r="BX137" s="84"/>
      <c r="BY137" s="84"/>
      <c r="BZ137" s="84"/>
      <c r="CA137" s="84"/>
      <c r="CB137" s="84"/>
      <c r="CC137" s="84"/>
      <c r="CD137" s="84"/>
      <c r="CE137" s="84"/>
      <c r="CF137" s="84"/>
      <c r="CG137" s="84"/>
      <c r="CH137" s="84"/>
      <c r="CI137" s="84"/>
      <c r="CJ137" s="84"/>
      <c r="CK137" s="84"/>
      <c r="CL137" s="84"/>
      <c r="CM137" s="84"/>
      <c r="CN137" s="84"/>
      <c r="CO137" s="84"/>
      <c r="CP137" s="84"/>
      <c r="CQ137" s="84"/>
      <c r="CR137" s="84"/>
    </row>
    <row r="138" spans="1:96" ht="7.5" customHeight="1" x14ac:dyDescent="0.25">
      <c r="A138" s="6"/>
      <c r="B138" s="248"/>
      <c r="C138" s="249"/>
      <c r="D138" s="249"/>
      <c r="E138" s="249"/>
      <c r="F138" s="249"/>
      <c r="G138" s="249"/>
      <c r="H138" s="249"/>
      <c r="I138" s="249"/>
      <c r="J138" s="249"/>
      <c r="K138" s="249"/>
      <c r="L138" s="249"/>
      <c r="M138" s="249"/>
      <c r="N138" s="249"/>
      <c r="O138" s="249"/>
      <c r="P138" s="249"/>
      <c r="Q138" s="249"/>
      <c r="R138" s="249"/>
      <c r="S138" s="249"/>
      <c r="T138" s="249"/>
      <c r="U138" s="249"/>
      <c r="V138" s="249"/>
      <c r="W138" s="249"/>
      <c r="X138" s="249"/>
      <c r="Y138" s="249"/>
      <c r="Z138" s="249"/>
      <c r="AA138" s="250"/>
      <c r="AB138" s="290" t="s">
        <v>1277</v>
      </c>
      <c r="AC138" s="291"/>
      <c r="AD138" s="291"/>
      <c r="AE138" s="291"/>
      <c r="AF138" s="291"/>
      <c r="AG138" s="291"/>
      <c r="AH138" s="291"/>
      <c r="AI138" s="291"/>
      <c r="AJ138" s="291"/>
      <c r="AK138" s="291"/>
      <c r="AL138" s="291"/>
      <c r="AM138" s="291"/>
      <c r="AN138" s="291"/>
      <c r="AO138" s="291"/>
      <c r="AP138" s="291"/>
      <c r="AQ138" s="291"/>
      <c r="AR138" s="291"/>
      <c r="AS138" s="291"/>
      <c r="AT138" s="291"/>
      <c r="AU138" s="291"/>
      <c r="AV138" s="291"/>
      <c r="AW138" s="292"/>
      <c r="AX138" s="296" t="s">
        <v>1278</v>
      </c>
      <c r="AY138" s="297"/>
      <c r="AZ138" s="297"/>
      <c r="BA138" s="297"/>
      <c r="BB138" s="297"/>
      <c r="BC138" s="297"/>
      <c r="BD138" s="297"/>
      <c r="BE138" s="297"/>
      <c r="BF138" s="297"/>
      <c r="BG138" s="297"/>
      <c r="BH138" s="297"/>
      <c r="BI138" s="297"/>
      <c r="BJ138" s="297"/>
      <c r="BK138" s="298"/>
      <c r="BL138" s="5"/>
      <c r="BM138" s="1"/>
      <c r="BN138" s="1"/>
      <c r="BO138" s="1"/>
      <c r="BP138" s="1"/>
      <c r="BQ138" s="1"/>
      <c r="BR138" s="1"/>
      <c r="BS138" s="1"/>
      <c r="BU138" s="84"/>
      <c r="BV138" s="84"/>
      <c r="BW138" s="84"/>
      <c r="BX138" s="84"/>
      <c r="BY138" s="84"/>
      <c r="BZ138" s="84"/>
      <c r="CA138" s="84"/>
      <c r="CB138" s="84"/>
      <c r="CC138" s="84"/>
      <c r="CD138" s="84"/>
      <c r="CE138" s="84"/>
      <c r="CF138" s="84"/>
      <c r="CG138" s="84"/>
      <c r="CH138" s="84"/>
      <c r="CI138" s="84"/>
      <c r="CJ138" s="84"/>
      <c r="CK138" s="84"/>
      <c r="CL138" s="84"/>
      <c r="CM138" s="84"/>
      <c r="CN138" s="84"/>
      <c r="CO138" s="84"/>
      <c r="CP138" s="84"/>
      <c r="CQ138" s="84"/>
      <c r="CR138" s="84"/>
    </row>
    <row r="139" spans="1:96" ht="7.5" customHeight="1" x14ac:dyDescent="0.25">
      <c r="A139" s="6"/>
      <c r="B139" s="284"/>
      <c r="C139" s="285"/>
      <c r="D139" s="285"/>
      <c r="E139" s="285"/>
      <c r="F139" s="285"/>
      <c r="G139" s="285"/>
      <c r="H139" s="285"/>
      <c r="I139" s="285"/>
      <c r="J139" s="285"/>
      <c r="K139" s="285"/>
      <c r="L139" s="285"/>
      <c r="M139" s="285"/>
      <c r="N139" s="285"/>
      <c r="O139" s="285"/>
      <c r="P139" s="285"/>
      <c r="Q139" s="285"/>
      <c r="R139" s="285"/>
      <c r="S139" s="285"/>
      <c r="T139" s="285"/>
      <c r="U139" s="285"/>
      <c r="V139" s="285"/>
      <c r="W139" s="285"/>
      <c r="X139" s="285"/>
      <c r="Y139" s="285"/>
      <c r="Z139" s="285"/>
      <c r="AA139" s="286"/>
      <c r="AB139" s="293"/>
      <c r="AC139" s="294"/>
      <c r="AD139" s="294"/>
      <c r="AE139" s="294"/>
      <c r="AF139" s="294"/>
      <c r="AG139" s="294"/>
      <c r="AH139" s="294"/>
      <c r="AI139" s="294"/>
      <c r="AJ139" s="294"/>
      <c r="AK139" s="294"/>
      <c r="AL139" s="294"/>
      <c r="AM139" s="294"/>
      <c r="AN139" s="294"/>
      <c r="AO139" s="294"/>
      <c r="AP139" s="294"/>
      <c r="AQ139" s="294"/>
      <c r="AR139" s="294"/>
      <c r="AS139" s="294"/>
      <c r="AT139" s="294"/>
      <c r="AU139" s="294"/>
      <c r="AV139" s="294"/>
      <c r="AW139" s="295"/>
      <c r="AX139" s="299"/>
      <c r="AY139" s="300"/>
      <c r="AZ139" s="300"/>
      <c r="BA139" s="300"/>
      <c r="BB139" s="300"/>
      <c r="BC139" s="300"/>
      <c r="BD139" s="300"/>
      <c r="BE139" s="300"/>
      <c r="BF139" s="300"/>
      <c r="BG139" s="300"/>
      <c r="BH139" s="300"/>
      <c r="BI139" s="300"/>
      <c r="BJ139" s="300"/>
      <c r="BK139" s="301"/>
      <c r="BL139" s="5"/>
      <c r="BM139" s="1"/>
      <c r="BN139" s="1"/>
      <c r="BO139" s="1"/>
      <c r="BP139" s="1"/>
      <c r="BQ139" s="1"/>
      <c r="BR139" s="1"/>
      <c r="BS139" s="1"/>
      <c r="BU139" s="84"/>
      <c r="BV139" s="84"/>
      <c r="BW139" s="84"/>
      <c r="BX139" s="84"/>
      <c r="BY139" s="84"/>
      <c r="BZ139" s="84"/>
      <c r="CA139" s="84"/>
      <c r="CB139" s="84"/>
      <c r="CC139" s="84"/>
      <c r="CD139" s="84"/>
      <c r="CE139" s="84"/>
      <c r="CF139" s="84"/>
      <c r="CG139" s="84"/>
      <c r="CH139" s="84"/>
      <c r="CI139" s="84"/>
      <c r="CJ139" s="84"/>
      <c r="CK139" s="84"/>
      <c r="CL139" s="84"/>
      <c r="CM139" s="84"/>
      <c r="CN139" s="84"/>
      <c r="CO139" s="84"/>
      <c r="CP139" s="84"/>
      <c r="CQ139" s="84"/>
      <c r="CR139" s="84"/>
    </row>
    <row r="140" spans="1:96" ht="7.5" customHeight="1" x14ac:dyDescent="0.25">
      <c r="A140" s="6"/>
      <c r="B140" s="157" t="s">
        <v>1279</v>
      </c>
      <c r="C140" s="118"/>
      <c r="D140" s="118"/>
      <c r="E140" s="118"/>
      <c r="F140" s="118"/>
      <c r="G140" s="118"/>
      <c r="H140" s="118"/>
      <c r="I140" s="118"/>
      <c r="J140" s="118"/>
      <c r="K140" s="118"/>
      <c r="L140" s="118"/>
      <c r="M140" s="118"/>
      <c r="N140" s="118"/>
      <c r="O140" s="118"/>
      <c r="P140" s="118"/>
      <c r="Q140" s="118"/>
      <c r="R140" s="118"/>
      <c r="S140" s="118"/>
      <c r="T140" s="118"/>
      <c r="U140" s="118"/>
      <c r="V140" s="118"/>
      <c r="W140" s="119"/>
      <c r="X140" s="157" t="s">
        <v>1280</v>
      </c>
      <c r="Y140" s="118"/>
      <c r="Z140" s="118"/>
      <c r="AA140" s="119"/>
      <c r="AB140" s="347" t="s">
        <v>1377</v>
      </c>
      <c r="AC140" s="233"/>
      <c r="AD140" s="233"/>
      <c r="AE140" s="233"/>
      <c r="AF140" s="233"/>
      <c r="AG140" s="233"/>
      <c r="AH140" s="233"/>
      <c r="AI140" s="233"/>
      <c r="AJ140" s="233"/>
      <c r="AK140" s="233"/>
      <c r="AL140" s="233"/>
      <c r="AM140" s="233"/>
      <c r="AN140" s="233"/>
      <c r="AO140" s="233"/>
      <c r="AP140" s="233"/>
      <c r="AQ140" s="233"/>
      <c r="AR140" s="233"/>
      <c r="AS140" s="233"/>
      <c r="AT140" s="233"/>
      <c r="AU140" s="233"/>
      <c r="AV140" s="233"/>
      <c r="AW140" s="234"/>
      <c r="AX140" s="338" t="s">
        <v>1361</v>
      </c>
      <c r="AY140" s="339"/>
      <c r="AZ140" s="339"/>
      <c r="BA140" s="339"/>
      <c r="BB140" s="339"/>
      <c r="BC140" s="339"/>
      <c r="BD140" s="339"/>
      <c r="BE140" s="339"/>
      <c r="BF140" s="339"/>
      <c r="BG140" s="339"/>
      <c r="BH140" s="339"/>
      <c r="BI140" s="339"/>
      <c r="BJ140" s="339"/>
      <c r="BK140" s="340"/>
      <c r="BL140" s="5"/>
      <c r="BM140" s="1"/>
      <c r="BN140" s="1"/>
      <c r="BO140" s="1"/>
      <c r="BP140" s="1"/>
      <c r="BQ140" s="1"/>
      <c r="BR140" s="1"/>
      <c r="BS140" s="1"/>
      <c r="BU140" s="84"/>
      <c r="BV140" s="84"/>
      <c r="BW140" s="84"/>
      <c r="BX140" s="84"/>
      <c r="BY140" s="84"/>
      <c r="BZ140" s="84"/>
      <c r="CA140" s="84"/>
      <c r="CB140" s="84"/>
      <c r="CC140" s="84"/>
      <c r="CD140" s="84"/>
      <c r="CE140" s="84"/>
      <c r="CF140" s="84"/>
      <c r="CG140" s="84"/>
      <c r="CH140" s="84"/>
      <c r="CI140" s="84"/>
      <c r="CJ140" s="84"/>
      <c r="CK140" s="84"/>
      <c r="CL140" s="84"/>
      <c r="CM140" s="84"/>
      <c r="CN140" s="84"/>
      <c r="CO140" s="84"/>
      <c r="CP140" s="84"/>
      <c r="CQ140" s="84"/>
      <c r="CR140" s="84"/>
    </row>
    <row r="141" spans="1:96" ht="7.5" customHeight="1" x14ac:dyDescent="0.25">
      <c r="A141" s="6"/>
      <c r="B141" s="159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2"/>
      <c r="X141" s="159"/>
      <c r="Y141" s="121"/>
      <c r="Z141" s="121"/>
      <c r="AA141" s="122"/>
      <c r="AB141" s="348"/>
      <c r="AC141" s="235"/>
      <c r="AD141" s="235"/>
      <c r="AE141" s="235"/>
      <c r="AF141" s="235"/>
      <c r="AG141" s="235"/>
      <c r="AH141" s="235"/>
      <c r="AI141" s="235"/>
      <c r="AJ141" s="235"/>
      <c r="AK141" s="235"/>
      <c r="AL141" s="235"/>
      <c r="AM141" s="235"/>
      <c r="AN141" s="235"/>
      <c r="AO141" s="235"/>
      <c r="AP141" s="235"/>
      <c r="AQ141" s="235"/>
      <c r="AR141" s="235"/>
      <c r="AS141" s="235"/>
      <c r="AT141" s="235"/>
      <c r="AU141" s="235"/>
      <c r="AV141" s="235"/>
      <c r="AW141" s="236"/>
      <c r="AX141" s="341"/>
      <c r="AY141" s="342"/>
      <c r="AZ141" s="342"/>
      <c r="BA141" s="342"/>
      <c r="BB141" s="342"/>
      <c r="BC141" s="342"/>
      <c r="BD141" s="342"/>
      <c r="BE141" s="342"/>
      <c r="BF141" s="342"/>
      <c r="BG141" s="342"/>
      <c r="BH141" s="342"/>
      <c r="BI141" s="342"/>
      <c r="BJ141" s="342"/>
      <c r="BK141" s="343"/>
      <c r="BL141" s="5"/>
      <c r="BM141" s="1"/>
      <c r="BN141" s="1"/>
      <c r="BO141" s="1"/>
      <c r="BP141" s="1"/>
      <c r="BQ141" s="1"/>
      <c r="BR141" s="1"/>
      <c r="BS141" s="1"/>
      <c r="BU141" s="84"/>
      <c r="BV141" s="84"/>
      <c r="BW141" s="84"/>
      <c r="BX141" s="84"/>
      <c r="BY141" s="84"/>
      <c r="BZ141" s="84"/>
      <c r="CA141" s="84"/>
      <c r="CB141" s="84"/>
      <c r="CC141" s="84"/>
      <c r="CD141" s="84"/>
      <c r="CE141" s="84"/>
      <c r="CF141" s="84"/>
      <c r="CG141" s="84"/>
      <c r="CH141" s="84"/>
      <c r="CI141" s="84"/>
      <c r="CJ141" s="84"/>
      <c r="CK141" s="84"/>
      <c r="CL141" s="84"/>
      <c r="CM141" s="84"/>
      <c r="CN141" s="84"/>
      <c r="CO141" s="84"/>
      <c r="CP141" s="84"/>
      <c r="CQ141" s="84"/>
      <c r="CR141" s="84"/>
    </row>
    <row r="142" spans="1:96" ht="7.5" customHeight="1" x14ac:dyDescent="0.25">
      <c r="A142" s="6"/>
      <c r="B142" s="159"/>
      <c r="C142" s="121"/>
      <c r="D142" s="121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2"/>
      <c r="X142" s="159"/>
      <c r="Y142" s="121"/>
      <c r="Z142" s="121"/>
      <c r="AA142" s="122"/>
      <c r="AB142" s="348"/>
      <c r="AC142" s="235"/>
      <c r="AD142" s="235"/>
      <c r="AE142" s="235"/>
      <c r="AF142" s="235"/>
      <c r="AG142" s="235"/>
      <c r="AH142" s="235"/>
      <c r="AI142" s="235"/>
      <c r="AJ142" s="235"/>
      <c r="AK142" s="235"/>
      <c r="AL142" s="235"/>
      <c r="AM142" s="235"/>
      <c r="AN142" s="235"/>
      <c r="AO142" s="235"/>
      <c r="AP142" s="235"/>
      <c r="AQ142" s="235"/>
      <c r="AR142" s="235"/>
      <c r="AS142" s="235"/>
      <c r="AT142" s="235"/>
      <c r="AU142" s="235"/>
      <c r="AV142" s="235"/>
      <c r="AW142" s="236"/>
      <c r="AX142" s="341"/>
      <c r="AY142" s="342"/>
      <c r="AZ142" s="342"/>
      <c r="BA142" s="342"/>
      <c r="BB142" s="342"/>
      <c r="BC142" s="342"/>
      <c r="BD142" s="342"/>
      <c r="BE142" s="342"/>
      <c r="BF142" s="342"/>
      <c r="BG142" s="342"/>
      <c r="BH142" s="342"/>
      <c r="BI142" s="342"/>
      <c r="BJ142" s="342"/>
      <c r="BK142" s="343"/>
      <c r="BL142" s="5"/>
      <c r="BM142" s="1"/>
      <c r="BN142" s="1"/>
      <c r="BO142" s="1"/>
      <c r="BP142" s="1"/>
      <c r="BQ142" s="1"/>
      <c r="BR142" s="1"/>
      <c r="BS142" s="1"/>
      <c r="BU142" s="84"/>
      <c r="BV142" s="84"/>
      <c r="BW142" s="84"/>
      <c r="BX142" s="84"/>
      <c r="BY142" s="84"/>
      <c r="BZ142" s="84"/>
      <c r="CA142" s="84"/>
      <c r="CB142" s="84"/>
      <c r="CC142" s="84"/>
      <c r="CD142" s="84"/>
      <c r="CE142" s="84"/>
      <c r="CF142" s="84"/>
      <c r="CG142" s="84"/>
      <c r="CH142" s="84"/>
      <c r="CI142" s="84"/>
      <c r="CJ142" s="84"/>
      <c r="CK142" s="84"/>
      <c r="CL142" s="84"/>
      <c r="CM142" s="84"/>
      <c r="CN142" s="84"/>
      <c r="CO142" s="84"/>
      <c r="CP142" s="84"/>
      <c r="CQ142" s="84"/>
      <c r="CR142" s="84"/>
    </row>
    <row r="143" spans="1:96" ht="7.5" customHeight="1" x14ac:dyDescent="0.25">
      <c r="A143" s="6"/>
      <c r="B143" s="159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2"/>
      <c r="X143" s="159"/>
      <c r="Y143" s="121"/>
      <c r="Z143" s="121"/>
      <c r="AA143" s="122"/>
      <c r="AB143" s="348"/>
      <c r="AC143" s="235"/>
      <c r="AD143" s="235"/>
      <c r="AE143" s="235"/>
      <c r="AF143" s="235"/>
      <c r="AG143" s="235"/>
      <c r="AH143" s="235"/>
      <c r="AI143" s="235"/>
      <c r="AJ143" s="235"/>
      <c r="AK143" s="235"/>
      <c r="AL143" s="235"/>
      <c r="AM143" s="235"/>
      <c r="AN143" s="235"/>
      <c r="AO143" s="235"/>
      <c r="AP143" s="235"/>
      <c r="AQ143" s="235"/>
      <c r="AR143" s="235"/>
      <c r="AS143" s="235"/>
      <c r="AT143" s="235"/>
      <c r="AU143" s="235"/>
      <c r="AV143" s="235"/>
      <c r="AW143" s="236"/>
      <c r="AX143" s="341"/>
      <c r="AY143" s="342"/>
      <c r="AZ143" s="342"/>
      <c r="BA143" s="342"/>
      <c r="BB143" s="342"/>
      <c r="BC143" s="342"/>
      <c r="BD143" s="342"/>
      <c r="BE143" s="342"/>
      <c r="BF143" s="342"/>
      <c r="BG143" s="342"/>
      <c r="BH143" s="342"/>
      <c r="BI143" s="342"/>
      <c r="BJ143" s="342"/>
      <c r="BK143" s="343"/>
      <c r="BL143" s="5"/>
      <c r="BM143" s="1"/>
      <c r="BN143" s="1"/>
      <c r="BO143" s="1"/>
      <c r="BP143" s="1"/>
      <c r="BQ143" s="1"/>
      <c r="BR143" s="1"/>
      <c r="BS143" s="1"/>
      <c r="BU143" s="84"/>
      <c r="BV143" s="84"/>
      <c r="BW143" s="84"/>
      <c r="BX143" s="84"/>
      <c r="BY143" s="84"/>
      <c r="BZ143" s="84"/>
      <c r="CA143" s="84"/>
      <c r="CB143" s="84"/>
      <c r="CC143" s="84"/>
      <c r="CD143" s="84"/>
      <c r="CE143" s="84"/>
      <c r="CF143" s="84"/>
      <c r="CG143" s="84"/>
      <c r="CH143" s="84"/>
      <c r="CI143" s="84"/>
      <c r="CJ143" s="84"/>
      <c r="CK143" s="84"/>
      <c r="CL143" s="84"/>
      <c r="CM143" s="84"/>
      <c r="CN143" s="84"/>
      <c r="CO143" s="84"/>
      <c r="CP143" s="84"/>
      <c r="CQ143" s="84"/>
      <c r="CR143" s="84"/>
    </row>
    <row r="144" spans="1:96" ht="7.5" customHeight="1" x14ac:dyDescent="0.25">
      <c r="A144" s="6"/>
      <c r="B144" s="161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124"/>
      <c r="V144" s="124"/>
      <c r="W144" s="125"/>
      <c r="X144" s="161"/>
      <c r="Y144" s="124"/>
      <c r="Z144" s="124"/>
      <c r="AA144" s="125"/>
      <c r="AB144" s="349"/>
      <c r="AC144" s="350"/>
      <c r="AD144" s="350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1"/>
      <c r="AX144" s="344"/>
      <c r="AY144" s="345"/>
      <c r="AZ144" s="345"/>
      <c r="BA144" s="345"/>
      <c r="BB144" s="345"/>
      <c r="BC144" s="345"/>
      <c r="BD144" s="345"/>
      <c r="BE144" s="345"/>
      <c r="BF144" s="345"/>
      <c r="BG144" s="345"/>
      <c r="BH144" s="345"/>
      <c r="BI144" s="345"/>
      <c r="BJ144" s="345"/>
      <c r="BK144" s="346"/>
      <c r="BL144" s="5"/>
      <c r="BM144" s="1"/>
      <c r="BN144" s="1"/>
      <c r="BO144" s="1"/>
      <c r="BP144" s="1"/>
      <c r="BQ144" s="1"/>
      <c r="BR144" s="1"/>
      <c r="BS144" s="1"/>
      <c r="BU144" s="84"/>
      <c r="BV144" s="84"/>
      <c r="BW144" s="84"/>
      <c r="BX144" s="84"/>
      <c r="BY144" s="84"/>
      <c r="BZ144" s="84"/>
      <c r="CA144" s="84"/>
      <c r="CB144" s="84"/>
      <c r="CC144" s="84"/>
      <c r="CD144" s="84"/>
      <c r="CE144" s="84"/>
      <c r="CF144" s="84"/>
      <c r="CG144" s="84"/>
      <c r="CH144" s="84"/>
      <c r="CI144" s="84"/>
      <c r="CJ144" s="84"/>
      <c r="CK144" s="84"/>
      <c r="CL144" s="84"/>
      <c r="CM144" s="84"/>
      <c r="CN144" s="84"/>
      <c r="CO144" s="84"/>
      <c r="CP144" s="84"/>
      <c r="CQ144" s="84"/>
      <c r="CR144" s="84"/>
    </row>
    <row r="145" spans="1:96" ht="7.5" customHeight="1" x14ac:dyDescent="0.25">
      <c r="A145" s="6"/>
      <c r="B145" s="157" t="s">
        <v>1281</v>
      </c>
      <c r="C145" s="118"/>
      <c r="D145" s="118"/>
      <c r="E145" s="118"/>
      <c r="F145" s="118"/>
      <c r="G145" s="118"/>
      <c r="H145" s="118"/>
      <c r="I145" s="118"/>
      <c r="J145" s="118"/>
      <c r="K145" s="118"/>
      <c r="L145" s="118"/>
      <c r="M145" s="118"/>
      <c r="N145" s="118"/>
      <c r="O145" s="118"/>
      <c r="P145" s="118"/>
      <c r="Q145" s="118"/>
      <c r="R145" s="118"/>
      <c r="S145" s="118"/>
      <c r="T145" s="118"/>
      <c r="U145" s="118"/>
      <c r="V145" s="118"/>
      <c r="W145" s="119"/>
      <c r="X145" s="157" t="s">
        <v>1280</v>
      </c>
      <c r="Y145" s="118"/>
      <c r="Z145" s="118"/>
      <c r="AA145" s="119"/>
      <c r="AB145" s="347" t="s">
        <v>1377</v>
      </c>
      <c r="AC145" s="233"/>
      <c r="AD145" s="233"/>
      <c r="AE145" s="233"/>
      <c r="AF145" s="233"/>
      <c r="AG145" s="233"/>
      <c r="AH145" s="233"/>
      <c r="AI145" s="233"/>
      <c r="AJ145" s="233"/>
      <c r="AK145" s="233"/>
      <c r="AL145" s="233"/>
      <c r="AM145" s="233"/>
      <c r="AN145" s="233"/>
      <c r="AO145" s="233"/>
      <c r="AP145" s="233"/>
      <c r="AQ145" s="233"/>
      <c r="AR145" s="233"/>
      <c r="AS145" s="233"/>
      <c r="AT145" s="233"/>
      <c r="AU145" s="233"/>
      <c r="AV145" s="233"/>
      <c r="AW145" s="234"/>
      <c r="AX145" s="338" t="s">
        <v>1361</v>
      </c>
      <c r="AY145" s="339"/>
      <c r="AZ145" s="339"/>
      <c r="BA145" s="339"/>
      <c r="BB145" s="339"/>
      <c r="BC145" s="339"/>
      <c r="BD145" s="339"/>
      <c r="BE145" s="339"/>
      <c r="BF145" s="339"/>
      <c r="BG145" s="339"/>
      <c r="BH145" s="339"/>
      <c r="BI145" s="339"/>
      <c r="BJ145" s="339"/>
      <c r="BK145" s="340"/>
      <c r="BL145" s="5"/>
      <c r="BM145" s="1"/>
      <c r="BN145" s="1"/>
      <c r="BO145" s="1"/>
      <c r="BP145" s="1"/>
      <c r="BQ145" s="1"/>
      <c r="BR145" s="1"/>
      <c r="BS145" s="1"/>
      <c r="BU145" s="84"/>
      <c r="BV145" s="84"/>
      <c r="BW145" s="84"/>
      <c r="BX145" s="84"/>
      <c r="BY145" s="84"/>
      <c r="BZ145" s="84"/>
      <c r="CA145" s="84"/>
      <c r="CB145" s="84"/>
      <c r="CC145" s="84"/>
      <c r="CD145" s="84"/>
      <c r="CE145" s="84"/>
      <c r="CF145" s="84"/>
      <c r="CG145" s="84"/>
      <c r="CH145" s="84"/>
      <c r="CI145" s="84"/>
      <c r="CJ145" s="84"/>
      <c r="CK145" s="84"/>
      <c r="CL145" s="84"/>
      <c r="CM145" s="84"/>
      <c r="CN145" s="84"/>
      <c r="CO145" s="84"/>
      <c r="CP145" s="84"/>
      <c r="CQ145" s="84"/>
      <c r="CR145" s="84"/>
    </row>
    <row r="146" spans="1:96" ht="7.5" customHeight="1" x14ac:dyDescent="0.25">
      <c r="A146" s="6"/>
      <c r="B146" s="159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2"/>
      <c r="X146" s="159"/>
      <c r="Y146" s="121"/>
      <c r="Z146" s="121"/>
      <c r="AA146" s="122"/>
      <c r="AB146" s="348"/>
      <c r="AC146" s="235"/>
      <c r="AD146" s="235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6"/>
      <c r="AX146" s="341"/>
      <c r="AY146" s="342"/>
      <c r="AZ146" s="342"/>
      <c r="BA146" s="342"/>
      <c r="BB146" s="342"/>
      <c r="BC146" s="342"/>
      <c r="BD146" s="342"/>
      <c r="BE146" s="342"/>
      <c r="BF146" s="342"/>
      <c r="BG146" s="342"/>
      <c r="BH146" s="342"/>
      <c r="BI146" s="342"/>
      <c r="BJ146" s="342"/>
      <c r="BK146" s="343"/>
      <c r="BL146" s="5"/>
      <c r="BM146" s="1"/>
      <c r="BN146" s="1"/>
      <c r="BO146" s="1"/>
      <c r="BP146" s="1"/>
      <c r="BQ146" s="1"/>
      <c r="BR146" s="1"/>
      <c r="BS146" s="1"/>
      <c r="BU146" s="84"/>
      <c r="BV146" s="84"/>
      <c r="BW146" s="84"/>
      <c r="BX146" s="84"/>
      <c r="BY146" s="84"/>
      <c r="BZ146" s="84"/>
      <c r="CA146" s="84"/>
      <c r="CB146" s="84"/>
      <c r="CC146" s="84"/>
      <c r="CD146" s="84"/>
      <c r="CE146" s="84"/>
      <c r="CF146" s="84"/>
      <c r="CG146" s="84"/>
      <c r="CH146" s="84"/>
      <c r="CI146" s="84"/>
      <c r="CJ146" s="84"/>
      <c r="CK146" s="84"/>
      <c r="CL146" s="84"/>
      <c r="CM146" s="84"/>
      <c r="CN146" s="84"/>
      <c r="CO146" s="84"/>
      <c r="CP146" s="84"/>
      <c r="CQ146" s="84"/>
      <c r="CR146" s="84"/>
    </row>
    <row r="147" spans="1:96" ht="7.5" customHeight="1" x14ac:dyDescent="0.25">
      <c r="A147" s="6"/>
      <c r="B147" s="159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2"/>
      <c r="X147" s="159"/>
      <c r="Y147" s="121"/>
      <c r="Z147" s="121"/>
      <c r="AA147" s="122"/>
      <c r="AB147" s="348"/>
      <c r="AC147" s="235"/>
      <c r="AD147" s="235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6"/>
      <c r="AX147" s="341"/>
      <c r="AY147" s="342"/>
      <c r="AZ147" s="342"/>
      <c r="BA147" s="342"/>
      <c r="BB147" s="342"/>
      <c r="BC147" s="342"/>
      <c r="BD147" s="342"/>
      <c r="BE147" s="342"/>
      <c r="BF147" s="342"/>
      <c r="BG147" s="342"/>
      <c r="BH147" s="342"/>
      <c r="BI147" s="342"/>
      <c r="BJ147" s="342"/>
      <c r="BK147" s="343"/>
      <c r="BL147" s="5"/>
      <c r="BM147" s="1"/>
      <c r="BN147" s="1"/>
      <c r="BO147" s="1"/>
      <c r="BP147" s="1"/>
      <c r="BQ147" s="1"/>
      <c r="BR147" s="1"/>
      <c r="BS147" s="1"/>
      <c r="BU147" s="84"/>
      <c r="BV147" s="84"/>
      <c r="BW147" s="84"/>
      <c r="BX147" s="84"/>
      <c r="BY147" s="84"/>
      <c r="BZ147" s="84"/>
      <c r="CA147" s="84"/>
      <c r="CB147" s="84"/>
      <c r="CC147" s="84"/>
      <c r="CD147" s="84"/>
      <c r="CE147" s="84"/>
      <c r="CF147" s="84"/>
      <c r="CG147" s="84"/>
      <c r="CH147" s="84"/>
      <c r="CI147" s="84"/>
      <c r="CJ147" s="84"/>
      <c r="CK147" s="84"/>
      <c r="CL147" s="84"/>
      <c r="CM147" s="84"/>
      <c r="CN147" s="84"/>
      <c r="CO147" s="84"/>
      <c r="CP147" s="84"/>
      <c r="CQ147" s="84"/>
      <c r="CR147" s="84"/>
    </row>
    <row r="148" spans="1:96" ht="7.5" customHeight="1" x14ac:dyDescent="0.25">
      <c r="A148" s="6"/>
      <c r="B148" s="159"/>
      <c r="C148" s="121"/>
      <c r="D148" s="121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2"/>
      <c r="X148" s="159"/>
      <c r="Y148" s="121"/>
      <c r="Z148" s="121"/>
      <c r="AA148" s="122"/>
      <c r="AB148" s="348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6"/>
      <c r="AX148" s="341"/>
      <c r="AY148" s="342"/>
      <c r="AZ148" s="342"/>
      <c r="BA148" s="342"/>
      <c r="BB148" s="342"/>
      <c r="BC148" s="342"/>
      <c r="BD148" s="342"/>
      <c r="BE148" s="342"/>
      <c r="BF148" s="342"/>
      <c r="BG148" s="342"/>
      <c r="BH148" s="342"/>
      <c r="BI148" s="342"/>
      <c r="BJ148" s="342"/>
      <c r="BK148" s="343"/>
      <c r="BL148" s="5"/>
      <c r="BM148" s="1"/>
      <c r="BN148" s="1"/>
      <c r="BO148" s="1"/>
      <c r="BP148" s="1"/>
      <c r="BQ148" s="1"/>
      <c r="BR148" s="1"/>
      <c r="BS148" s="1"/>
    </row>
    <row r="149" spans="1:96" ht="7.5" customHeight="1" x14ac:dyDescent="0.25">
      <c r="A149" s="6"/>
      <c r="B149" s="161"/>
      <c r="C149" s="124"/>
      <c r="D149" s="124"/>
      <c r="E149" s="124"/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124"/>
      <c r="V149" s="124"/>
      <c r="W149" s="125"/>
      <c r="X149" s="161"/>
      <c r="Y149" s="124"/>
      <c r="Z149" s="124"/>
      <c r="AA149" s="125"/>
      <c r="AB149" s="349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1"/>
      <c r="AX149" s="344"/>
      <c r="AY149" s="345"/>
      <c r="AZ149" s="345"/>
      <c r="BA149" s="345"/>
      <c r="BB149" s="345"/>
      <c r="BC149" s="345"/>
      <c r="BD149" s="345"/>
      <c r="BE149" s="345"/>
      <c r="BF149" s="345"/>
      <c r="BG149" s="345"/>
      <c r="BH149" s="345"/>
      <c r="BI149" s="345"/>
      <c r="BJ149" s="345"/>
      <c r="BK149" s="346"/>
      <c r="BL149" s="5"/>
      <c r="BM149" s="1"/>
      <c r="BN149" s="1"/>
      <c r="BO149" s="1"/>
      <c r="BP149" s="1"/>
      <c r="BQ149" s="1"/>
      <c r="BR149" s="1"/>
      <c r="BS149" s="1"/>
    </row>
    <row r="150" spans="1:96" ht="7.5" customHeight="1" x14ac:dyDescent="0.25">
      <c r="A150" s="6"/>
      <c r="B150" s="118"/>
      <c r="C150" s="118"/>
      <c r="D150" s="118"/>
      <c r="E150" s="118"/>
      <c r="F150" s="118"/>
      <c r="G150" s="118"/>
      <c r="H150" s="118"/>
      <c r="I150" s="118"/>
      <c r="J150" s="118"/>
      <c r="K150" s="118"/>
      <c r="L150" s="118"/>
      <c r="M150" s="118"/>
      <c r="N150" s="118"/>
      <c r="O150" s="118"/>
      <c r="P150" s="118"/>
      <c r="Q150" s="118"/>
      <c r="R150" s="118"/>
      <c r="S150" s="118"/>
      <c r="T150" s="118"/>
      <c r="U150" s="118"/>
      <c r="V150" s="118"/>
      <c r="W150" s="118"/>
      <c r="X150" s="118"/>
      <c r="Y150" s="118"/>
      <c r="Z150" s="118"/>
      <c r="AA150" s="118"/>
      <c r="AB150" s="118"/>
      <c r="AC150" s="118"/>
      <c r="AD150" s="118"/>
      <c r="AE150" s="118"/>
      <c r="AF150" s="118"/>
      <c r="AG150" s="118"/>
      <c r="AH150" s="118"/>
      <c r="AI150" s="118"/>
      <c r="AJ150" s="118"/>
      <c r="AK150" s="118"/>
      <c r="AL150" s="118"/>
      <c r="AM150" s="118"/>
      <c r="AN150" s="118"/>
      <c r="AO150" s="118"/>
      <c r="AP150" s="118"/>
      <c r="AQ150" s="118"/>
      <c r="AR150" s="118"/>
      <c r="AS150" s="118"/>
      <c r="AT150" s="118"/>
      <c r="AU150" s="118"/>
      <c r="AV150" s="118"/>
      <c r="AW150" s="118"/>
      <c r="AX150" s="118"/>
      <c r="AY150" s="118"/>
      <c r="AZ150" s="118"/>
      <c r="BA150" s="118"/>
      <c r="BB150" s="118"/>
      <c r="BC150" s="118"/>
      <c r="BD150" s="118"/>
      <c r="BE150" s="118"/>
      <c r="BF150" s="118"/>
      <c r="BG150" s="118"/>
      <c r="BH150" s="118"/>
      <c r="BI150" s="118"/>
      <c r="BJ150" s="118"/>
      <c r="BK150" s="118"/>
      <c r="BL150" s="5"/>
      <c r="BM150" s="1"/>
      <c r="BN150" s="1"/>
      <c r="BO150" s="1"/>
      <c r="BP150" s="1"/>
      <c r="BQ150" s="1"/>
      <c r="BR150" s="1"/>
      <c r="BS150" s="1"/>
    </row>
    <row r="151" spans="1:96" ht="7.5" customHeight="1" x14ac:dyDescent="0.25">
      <c r="A151" s="6"/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1"/>
      <c r="BK151" s="121"/>
      <c r="BL151" s="5"/>
      <c r="BM151" s="1"/>
      <c r="BN151" s="1"/>
      <c r="BO151" s="1"/>
      <c r="BP151" s="1"/>
      <c r="BQ151" s="1"/>
      <c r="BR151" s="1"/>
      <c r="BS151" s="1"/>
    </row>
    <row r="152" spans="1:96" ht="7.5" customHeight="1" x14ac:dyDescent="0.25">
      <c r="A152" s="6"/>
      <c r="B152" s="124"/>
      <c r="C152" s="124"/>
      <c r="D152" s="124"/>
      <c r="E152" s="124"/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124"/>
      <c r="V152" s="124"/>
      <c r="W152" s="124"/>
      <c r="X152" s="124"/>
      <c r="Y152" s="124"/>
      <c r="Z152" s="124"/>
      <c r="AA152" s="124"/>
      <c r="AB152" s="124"/>
      <c r="AC152" s="124"/>
      <c r="AD152" s="124"/>
      <c r="AE152" s="124"/>
      <c r="AF152" s="124"/>
      <c r="AG152" s="124"/>
      <c r="AH152" s="124"/>
      <c r="AI152" s="124"/>
      <c r="AJ152" s="124"/>
      <c r="AK152" s="124"/>
      <c r="AL152" s="124"/>
      <c r="AM152" s="124"/>
      <c r="AN152" s="124"/>
      <c r="AO152" s="124"/>
      <c r="AP152" s="124"/>
      <c r="AQ152" s="124"/>
      <c r="AR152" s="124"/>
      <c r="AS152" s="124"/>
      <c r="AT152" s="124"/>
      <c r="AU152" s="124"/>
      <c r="AV152" s="124"/>
      <c r="AW152" s="124"/>
      <c r="AX152" s="124"/>
      <c r="AY152" s="124"/>
      <c r="AZ152" s="124"/>
      <c r="BA152" s="124"/>
      <c r="BB152" s="124"/>
      <c r="BC152" s="124"/>
      <c r="BD152" s="124"/>
      <c r="BE152" s="124"/>
      <c r="BF152" s="124"/>
      <c r="BG152" s="124"/>
      <c r="BH152" s="124"/>
      <c r="BI152" s="124"/>
      <c r="BJ152" s="124"/>
      <c r="BK152" s="124"/>
      <c r="BL152" s="5"/>
      <c r="BM152" s="1"/>
      <c r="BN152" s="1"/>
      <c r="BO152" s="1"/>
      <c r="BP152" s="1"/>
      <c r="BQ152" s="1"/>
      <c r="BR152" s="1"/>
      <c r="BS152" s="1"/>
    </row>
    <row r="153" spans="1:96" ht="7.5" customHeight="1" x14ac:dyDescent="0.25">
      <c r="A153" s="6"/>
      <c r="B153" s="245" t="s">
        <v>1282</v>
      </c>
      <c r="C153" s="246"/>
      <c r="D153" s="246"/>
      <c r="E153" s="246"/>
      <c r="F153" s="246"/>
      <c r="G153" s="246"/>
      <c r="H153" s="246"/>
      <c r="I153" s="246"/>
      <c r="J153" s="246"/>
      <c r="K153" s="246"/>
      <c r="L153" s="246"/>
      <c r="M153" s="246"/>
      <c r="N153" s="246"/>
      <c r="O153" s="246"/>
      <c r="P153" s="246"/>
      <c r="Q153" s="246"/>
      <c r="R153" s="246"/>
      <c r="S153" s="246"/>
      <c r="T153" s="246"/>
      <c r="U153" s="246"/>
      <c r="V153" s="246"/>
      <c r="W153" s="246"/>
      <c r="X153" s="246"/>
      <c r="Y153" s="246"/>
      <c r="Z153" s="246"/>
      <c r="AA153" s="246"/>
      <c r="AB153" s="246"/>
      <c r="AC153" s="246"/>
      <c r="AD153" s="246"/>
      <c r="AE153" s="247"/>
      <c r="AF153" s="219" t="s">
        <v>1283</v>
      </c>
      <c r="AG153" s="220"/>
      <c r="AH153" s="220"/>
      <c r="AI153" s="220"/>
      <c r="AJ153" s="220"/>
      <c r="AK153" s="220"/>
      <c r="AL153" s="220"/>
      <c r="AM153" s="220"/>
      <c r="AN153" s="220"/>
      <c r="AO153" s="220"/>
      <c r="AP153" s="220"/>
      <c r="AQ153" s="220"/>
      <c r="AR153" s="220"/>
      <c r="AS153" s="220"/>
      <c r="AT153" s="220"/>
      <c r="AU153" s="220"/>
      <c r="AV153" s="220"/>
      <c r="AW153" s="220"/>
      <c r="AX153" s="221"/>
      <c r="AY153" s="219" t="s">
        <v>1284</v>
      </c>
      <c r="AZ153" s="220"/>
      <c r="BA153" s="220"/>
      <c r="BB153" s="220"/>
      <c r="BC153" s="220"/>
      <c r="BD153" s="220"/>
      <c r="BE153" s="220"/>
      <c r="BF153" s="220"/>
      <c r="BG153" s="220"/>
      <c r="BH153" s="220"/>
      <c r="BI153" s="220"/>
      <c r="BJ153" s="220"/>
      <c r="BK153" s="221"/>
      <c r="BL153" s="5"/>
      <c r="BM153" s="1"/>
      <c r="BN153" s="1"/>
      <c r="BO153" s="1"/>
      <c r="BP153" s="1"/>
      <c r="BQ153" s="1"/>
      <c r="BR153" s="1"/>
      <c r="BS153" s="1"/>
    </row>
    <row r="154" spans="1:96" ht="7.5" customHeight="1" x14ac:dyDescent="0.25">
      <c r="A154" s="6"/>
      <c r="B154" s="248"/>
      <c r="C154" s="249"/>
      <c r="D154" s="249"/>
      <c r="E154" s="249"/>
      <c r="F154" s="249"/>
      <c r="G154" s="249"/>
      <c r="H154" s="249"/>
      <c r="I154" s="249"/>
      <c r="J154" s="249"/>
      <c r="K154" s="249"/>
      <c r="L154" s="249"/>
      <c r="M154" s="249"/>
      <c r="N154" s="249"/>
      <c r="O154" s="249"/>
      <c r="P154" s="249"/>
      <c r="Q154" s="249"/>
      <c r="R154" s="249"/>
      <c r="S154" s="249"/>
      <c r="T154" s="249"/>
      <c r="U154" s="249"/>
      <c r="V154" s="249"/>
      <c r="W154" s="249"/>
      <c r="X154" s="249"/>
      <c r="Y154" s="249"/>
      <c r="Z154" s="249"/>
      <c r="AA154" s="249"/>
      <c r="AB154" s="249"/>
      <c r="AC154" s="249"/>
      <c r="AD154" s="249"/>
      <c r="AE154" s="250"/>
      <c r="AF154" s="99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1"/>
      <c r="AY154" s="99"/>
      <c r="AZ154" s="100"/>
      <c r="BA154" s="100"/>
      <c r="BB154" s="100"/>
      <c r="BC154" s="100"/>
      <c r="BD154" s="100"/>
      <c r="BE154" s="100"/>
      <c r="BF154" s="100"/>
      <c r="BG154" s="100"/>
      <c r="BH154" s="100"/>
      <c r="BI154" s="100"/>
      <c r="BJ154" s="100"/>
      <c r="BK154" s="101"/>
      <c r="BL154" s="5"/>
      <c r="BM154" s="1"/>
      <c r="BN154" s="1"/>
      <c r="BO154" s="1"/>
      <c r="BP154" s="1"/>
      <c r="BQ154" s="1"/>
      <c r="BR154" s="1"/>
      <c r="BS154" s="1"/>
    </row>
    <row r="155" spans="1:96" ht="7.5" customHeight="1" x14ac:dyDescent="0.25">
      <c r="A155" s="6"/>
      <c r="B155" s="248"/>
      <c r="C155" s="249"/>
      <c r="D155" s="249"/>
      <c r="E155" s="249"/>
      <c r="F155" s="249"/>
      <c r="G155" s="249"/>
      <c r="H155" s="249"/>
      <c r="I155" s="249"/>
      <c r="J155" s="249"/>
      <c r="K155" s="249"/>
      <c r="L155" s="249"/>
      <c r="M155" s="249"/>
      <c r="N155" s="249"/>
      <c r="O155" s="249"/>
      <c r="P155" s="249"/>
      <c r="Q155" s="249"/>
      <c r="R155" s="249"/>
      <c r="S155" s="249"/>
      <c r="T155" s="249"/>
      <c r="U155" s="249"/>
      <c r="V155" s="249"/>
      <c r="W155" s="249"/>
      <c r="X155" s="249"/>
      <c r="Y155" s="249"/>
      <c r="Z155" s="249"/>
      <c r="AA155" s="249"/>
      <c r="AB155" s="249"/>
      <c r="AC155" s="249"/>
      <c r="AD155" s="249"/>
      <c r="AE155" s="250"/>
      <c r="AF155" s="99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1"/>
      <c r="AY155" s="99"/>
      <c r="AZ155" s="100"/>
      <c r="BA155" s="100"/>
      <c r="BB155" s="100"/>
      <c r="BC155" s="100"/>
      <c r="BD155" s="100"/>
      <c r="BE155" s="100"/>
      <c r="BF155" s="100"/>
      <c r="BG155" s="100"/>
      <c r="BH155" s="100"/>
      <c r="BI155" s="100"/>
      <c r="BJ155" s="100"/>
      <c r="BK155" s="101"/>
      <c r="BL155" s="5"/>
      <c r="BM155" s="1"/>
      <c r="BN155" s="1"/>
      <c r="BO155" s="1"/>
      <c r="BP155" s="1"/>
      <c r="BQ155" s="1"/>
      <c r="BR155" s="1"/>
      <c r="BS155" s="1"/>
    </row>
    <row r="156" spans="1:96" ht="7.5" customHeight="1" x14ac:dyDescent="0.25">
      <c r="A156" s="6"/>
      <c r="B156" s="248"/>
      <c r="C156" s="249"/>
      <c r="D156" s="249"/>
      <c r="E156" s="249"/>
      <c r="F156" s="249"/>
      <c r="G156" s="249"/>
      <c r="H156" s="249"/>
      <c r="I156" s="249"/>
      <c r="J156" s="249"/>
      <c r="K156" s="249"/>
      <c r="L156" s="249"/>
      <c r="M156" s="249"/>
      <c r="N156" s="249"/>
      <c r="O156" s="249"/>
      <c r="P156" s="249"/>
      <c r="Q156" s="249"/>
      <c r="R156" s="249"/>
      <c r="S156" s="249"/>
      <c r="T156" s="249"/>
      <c r="U156" s="249"/>
      <c r="V156" s="249"/>
      <c r="W156" s="249"/>
      <c r="X156" s="249"/>
      <c r="Y156" s="249"/>
      <c r="Z156" s="249"/>
      <c r="AA156" s="249"/>
      <c r="AB156" s="249"/>
      <c r="AC156" s="249"/>
      <c r="AD156" s="249"/>
      <c r="AE156" s="250"/>
      <c r="AF156" s="99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1"/>
      <c r="AY156" s="99"/>
      <c r="AZ156" s="100"/>
      <c r="BA156" s="100"/>
      <c r="BB156" s="100"/>
      <c r="BC156" s="100"/>
      <c r="BD156" s="100"/>
      <c r="BE156" s="100"/>
      <c r="BF156" s="100"/>
      <c r="BG156" s="100"/>
      <c r="BH156" s="100"/>
      <c r="BI156" s="100"/>
      <c r="BJ156" s="100"/>
      <c r="BK156" s="101"/>
      <c r="BL156" s="5"/>
      <c r="BM156" s="1"/>
      <c r="BN156" s="1"/>
      <c r="BO156" s="1"/>
      <c r="BP156" s="1"/>
      <c r="BQ156" s="1"/>
      <c r="BR156" s="1"/>
      <c r="BS156" s="1"/>
    </row>
    <row r="157" spans="1:96" ht="7.5" customHeight="1" x14ac:dyDescent="0.25">
      <c r="A157" s="6"/>
      <c r="B157" s="284"/>
      <c r="C157" s="285"/>
      <c r="D157" s="285"/>
      <c r="E157" s="285"/>
      <c r="F157" s="285"/>
      <c r="G157" s="285"/>
      <c r="H157" s="285"/>
      <c r="I157" s="285"/>
      <c r="J157" s="285"/>
      <c r="K157" s="285"/>
      <c r="L157" s="285"/>
      <c r="M157" s="285"/>
      <c r="N157" s="285"/>
      <c r="O157" s="285"/>
      <c r="P157" s="285"/>
      <c r="Q157" s="285"/>
      <c r="R157" s="285"/>
      <c r="S157" s="285"/>
      <c r="T157" s="285"/>
      <c r="U157" s="285"/>
      <c r="V157" s="285"/>
      <c r="W157" s="285"/>
      <c r="X157" s="285"/>
      <c r="Y157" s="285"/>
      <c r="Z157" s="285"/>
      <c r="AA157" s="285"/>
      <c r="AB157" s="285"/>
      <c r="AC157" s="285"/>
      <c r="AD157" s="285"/>
      <c r="AE157" s="286"/>
      <c r="AF157" s="102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3"/>
      <c r="AS157" s="103"/>
      <c r="AT157" s="103"/>
      <c r="AU157" s="103"/>
      <c r="AV157" s="103"/>
      <c r="AW157" s="103"/>
      <c r="AX157" s="104"/>
      <c r="AY157" s="102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4"/>
      <c r="BL157" s="5"/>
      <c r="BM157" s="1"/>
      <c r="BN157" s="1"/>
      <c r="BO157" s="1"/>
      <c r="BP157" s="1"/>
      <c r="BQ157" s="1"/>
      <c r="BR157" s="1"/>
      <c r="BS157" s="1"/>
    </row>
    <row r="158" spans="1:96" ht="7.5" customHeight="1" x14ac:dyDescent="0.25">
      <c r="A158" s="6"/>
      <c r="B158" s="157" t="s">
        <v>1285</v>
      </c>
      <c r="C158" s="118"/>
      <c r="D158" s="118"/>
      <c r="E158" s="118"/>
      <c r="F158" s="118"/>
      <c r="G158" s="118"/>
      <c r="H158" s="118"/>
      <c r="I158" s="118"/>
      <c r="J158" s="118"/>
      <c r="K158" s="118"/>
      <c r="L158" s="118"/>
      <c r="M158" s="118"/>
      <c r="N158" s="118"/>
      <c r="O158" s="118"/>
      <c r="P158" s="118"/>
      <c r="Q158" s="118"/>
      <c r="R158" s="118"/>
      <c r="S158" s="118"/>
      <c r="T158" s="118"/>
      <c r="U158" s="118"/>
      <c r="V158" s="118"/>
      <c r="W158" s="118"/>
      <c r="X158" s="118"/>
      <c r="Y158" s="118"/>
      <c r="Z158" s="118"/>
      <c r="AA158" s="118"/>
      <c r="AB158" s="118"/>
      <c r="AC158" s="118"/>
      <c r="AD158" s="118"/>
      <c r="AE158" s="119"/>
      <c r="AF158" s="323" t="s">
        <v>1366</v>
      </c>
      <c r="AG158" s="324"/>
      <c r="AH158" s="324"/>
      <c r="AI158" s="324"/>
      <c r="AJ158" s="324"/>
      <c r="AK158" s="324"/>
      <c r="AL158" s="324"/>
      <c r="AM158" s="324"/>
      <c r="AN158" s="324"/>
      <c r="AO158" s="324"/>
      <c r="AP158" s="324"/>
      <c r="AQ158" s="324"/>
      <c r="AR158" s="324"/>
      <c r="AS158" s="324"/>
      <c r="AT158" s="324"/>
      <c r="AU158" s="324"/>
      <c r="AV158" s="324"/>
      <c r="AW158" s="324"/>
      <c r="AX158" s="325"/>
      <c r="AY158" s="332"/>
      <c r="AZ158" s="275"/>
      <c r="BA158" s="275"/>
      <c r="BB158" s="275"/>
      <c r="BC158" s="275"/>
      <c r="BD158" s="275"/>
      <c r="BE158" s="275"/>
      <c r="BF158" s="275"/>
      <c r="BG158" s="275"/>
      <c r="BH158" s="275"/>
      <c r="BI158" s="275"/>
      <c r="BJ158" s="275"/>
      <c r="BK158" s="333"/>
      <c r="BL158" s="5"/>
      <c r="BM158" s="1"/>
      <c r="BN158" s="1"/>
      <c r="BO158" s="1"/>
      <c r="BP158" s="1"/>
      <c r="BQ158" s="1"/>
      <c r="BR158" s="1"/>
      <c r="BS158" s="1"/>
    </row>
    <row r="159" spans="1:96" ht="7.5" customHeight="1" x14ac:dyDescent="0.25">
      <c r="A159" s="6"/>
      <c r="B159" s="159"/>
      <c r="C159" s="121"/>
      <c r="D159" s="121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2"/>
      <c r="AF159" s="326"/>
      <c r="AG159" s="327"/>
      <c r="AH159" s="327"/>
      <c r="AI159" s="327"/>
      <c r="AJ159" s="327"/>
      <c r="AK159" s="327"/>
      <c r="AL159" s="327"/>
      <c r="AM159" s="327"/>
      <c r="AN159" s="327"/>
      <c r="AO159" s="327"/>
      <c r="AP159" s="327"/>
      <c r="AQ159" s="327"/>
      <c r="AR159" s="327"/>
      <c r="AS159" s="327"/>
      <c r="AT159" s="327"/>
      <c r="AU159" s="327"/>
      <c r="AV159" s="327"/>
      <c r="AW159" s="327"/>
      <c r="AX159" s="328"/>
      <c r="AY159" s="334"/>
      <c r="AZ159" s="273"/>
      <c r="BA159" s="273"/>
      <c r="BB159" s="273"/>
      <c r="BC159" s="273"/>
      <c r="BD159" s="273"/>
      <c r="BE159" s="273"/>
      <c r="BF159" s="273"/>
      <c r="BG159" s="273"/>
      <c r="BH159" s="273"/>
      <c r="BI159" s="273"/>
      <c r="BJ159" s="273"/>
      <c r="BK159" s="335"/>
      <c r="BL159" s="5"/>
      <c r="BM159" s="1"/>
      <c r="BN159" s="1"/>
      <c r="BO159" s="1"/>
      <c r="BP159" s="1"/>
      <c r="BQ159" s="1"/>
      <c r="BR159" s="1"/>
      <c r="BS159" s="1"/>
    </row>
    <row r="160" spans="1:96" ht="7.5" customHeight="1" x14ac:dyDescent="0.25">
      <c r="A160" s="6"/>
      <c r="B160" s="161"/>
      <c r="C160" s="124"/>
      <c r="D160" s="124"/>
      <c r="E160" s="124"/>
      <c r="F160" s="124"/>
      <c r="G160" s="124"/>
      <c r="H160" s="124"/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124"/>
      <c r="V160" s="124"/>
      <c r="W160" s="124"/>
      <c r="X160" s="124"/>
      <c r="Y160" s="124"/>
      <c r="Z160" s="124"/>
      <c r="AA160" s="124"/>
      <c r="AB160" s="124"/>
      <c r="AC160" s="124"/>
      <c r="AD160" s="124"/>
      <c r="AE160" s="125"/>
      <c r="AF160" s="329"/>
      <c r="AG160" s="330"/>
      <c r="AH160" s="330"/>
      <c r="AI160" s="330"/>
      <c r="AJ160" s="330"/>
      <c r="AK160" s="330"/>
      <c r="AL160" s="330"/>
      <c r="AM160" s="330"/>
      <c r="AN160" s="330"/>
      <c r="AO160" s="330"/>
      <c r="AP160" s="330"/>
      <c r="AQ160" s="330"/>
      <c r="AR160" s="330"/>
      <c r="AS160" s="330"/>
      <c r="AT160" s="330"/>
      <c r="AU160" s="330"/>
      <c r="AV160" s="330"/>
      <c r="AW160" s="330"/>
      <c r="AX160" s="331"/>
      <c r="AY160" s="336"/>
      <c r="AZ160" s="274"/>
      <c r="BA160" s="274"/>
      <c r="BB160" s="274"/>
      <c r="BC160" s="274"/>
      <c r="BD160" s="274"/>
      <c r="BE160" s="274"/>
      <c r="BF160" s="274"/>
      <c r="BG160" s="274"/>
      <c r="BH160" s="274"/>
      <c r="BI160" s="274"/>
      <c r="BJ160" s="274"/>
      <c r="BK160" s="337"/>
      <c r="BL160" s="5"/>
      <c r="BM160" s="1"/>
      <c r="BN160" s="1"/>
      <c r="BO160" s="1"/>
      <c r="BP160" s="1"/>
      <c r="BQ160" s="1"/>
      <c r="BR160" s="1"/>
      <c r="BS160" s="1"/>
    </row>
    <row r="161" spans="1:71" ht="7.5" customHeight="1" x14ac:dyDescent="0.25">
      <c r="A161" s="6"/>
      <c r="B161" s="157" t="s">
        <v>1286</v>
      </c>
      <c r="C161" s="118"/>
      <c r="D161" s="118"/>
      <c r="E161" s="118"/>
      <c r="F161" s="118"/>
      <c r="G161" s="118"/>
      <c r="H161" s="118"/>
      <c r="I161" s="118"/>
      <c r="J161" s="118"/>
      <c r="K161" s="118"/>
      <c r="L161" s="118"/>
      <c r="M161" s="118"/>
      <c r="N161" s="118"/>
      <c r="O161" s="118"/>
      <c r="P161" s="118"/>
      <c r="Q161" s="118"/>
      <c r="R161" s="118"/>
      <c r="S161" s="118"/>
      <c r="T161" s="118"/>
      <c r="U161" s="118"/>
      <c r="V161" s="118"/>
      <c r="W161" s="118"/>
      <c r="X161" s="118"/>
      <c r="Y161" s="118"/>
      <c r="Z161" s="118"/>
      <c r="AA161" s="118"/>
      <c r="AB161" s="118"/>
      <c r="AC161" s="118"/>
      <c r="AD161" s="118"/>
      <c r="AE161" s="119"/>
      <c r="AF161" s="332"/>
      <c r="AG161" s="275"/>
      <c r="AH161" s="275"/>
      <c r="AI161" s="275"/>
      <c r="AJ161" s="275"/>
      <c r="AK161" s="275"/>
      <c r="AL161" s="275"/>
      <c r="AM161" s="275"/>
      <c r="AN161" s="275"/>
      <c r="AO161" s="275"/>
      <c r="AP161" s="275"/>
      <c r="AQ161" s="275"/>
      <c r="AR161" s="275"/>
      <c r="AS161" s="275"/>
      <c r="AT161" s="275"/>
      <c r="AU161" s="275"/>
      <c r="AV161" s="275"/>
      <c r="AW161" s="275"/>
      <c r="AX161" s="333"/>
      <c r="AY161" s="332"/>
      <c r="AZ161" s="275"/>
      <c r="BA161" s="275"/>
      <c r="BB161" s="275"/>
      <c r="BC161" s="275"/>
      <c r="BD161" s="275"/>
      <c r="BE161" s="275"/>
      <c r="BF161" s="275"/>
      <c r="BG161" s="275"/>
      <c r="BH161" s="275"/>
      <c r="BI161" s="275"/>
      <c r="BJ161" s="275"/>
      <c r="BK161" s="333"/>
      <c r="BL161" s="5"/>
      <c r="BM161" s="1"/>
      <c r="BN161" s="1"/>
      <c r="BO161" s="1"/>
      <c r="BP161" s="1"/>
      <c r="BQ161" s="1"/>
      <c r="BR161" s="1"/>
      <c r="BS161" s="1"/>
    </row>
    <row r="162" spans="1:71" ht="7.5" customHeight="1" x14ac:dyDescent="0.25">
      <c r="A162" s="6"/>
      <c r="B162" s="159"/>
      <c r="C162" s="121"/>
      <c r="D162" s="121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2"/>
      <c r="AF162" s="334"/>
      <c r="AG162" s="273"/>
      <c r="AH162" s="273"/>
      <c r="AI162" s="273"/>
      <c r="AJ162" s="273"/>
      <c r="AK162" s="273"/>
      <c r="AL162" s="273"/>
      <c r="AM162" s="273"/>
      <c r="AN162" s="273"/>
      <c r="AO162" s="273"/>
      <c r="AP162" s="273"/>
      <c r="AQ162" s="273"/>
      <c r="AR162" s="273"/>
      <c r="AS162" s="273"/>
      <c r="AT162" s="273"/>
      <c r="AU162" s="273"/>
      <c r="AV162" s="273"/>
      <c r="AW162" s="273"/>
      <c r="AX162" s="335"/>
      <c r="AY162" s="334"/>
      <c r="AZ162" s="273"/>
      <c r="BA162" s="273"/>
      <c r="BB162" s="273"/>
      <c r="BC162" s="273"/>
      <c r="BD162" s="273"/>
      <c r="BE162" s="273"/>
      <c r="BF162" s="273"/>
      <c r="BG162" s="273"/>
      <c r="BH162" s="273"/>
      <c r="BI162" s="273"/>
      <c r="BJ162" s="273"/>
      <c r="BK162" s="335"/>
      <c r="BL162" s="5"/>
      <c r="BM162" s="1"/>
      <c r="BN162" s="1"/>
      <c r="BO162" s="1"/>
      <c r="BP162" s="1"/>
      <c r="BQ162" s="1"/>
      <c r="BR162" s="1"/>
      <c r="BS162" s="1"/>
    </row>
    <row r="163" spans="1:71" ht="7.5" customHeight="1" x14ac:dyDescent="0.25">
      <c r="A163" s="6"/>
      <c r="B163" s="161"/>
      <c r="C163" s="124"/>
      <c r="D163" s="124"/>
      <c r="E163" s="124"/>
      <c r="F163" s="124"/>
      <c r="G163" s="124"/>
      <c r="H163" s="124"/>
      <c r="I163" s="124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  <c r="T163" s="124"/>
      <c r="U163" s="124"/>
      <c r="V163" s="124"/>
      <c r="W163" s="124"/>
      <c r="X163" s="124"/>
      <c r="Y163" s="124"/>
      <c r="Z163" s="124"/>
      <c r="AA163" s="124"/>
      <c r="AB163" s="124"/>
      <c r="AC163" s="124"/>
      <c r="AD163" s="124"/>
      <c r="AE163" s="125"/>
      <c r="AF163" s="336"/>
      <c r="AG163" s="274"/>
      <c r="AH163" s="274"/>
      <c r="AI163" s="274"/>
      <c r="AJ163" s="274"/>
      <c r="AK163" s="274"/>
      <c r="AL163" s="274"/>
      <c r="AM163" s="274"/>
      <c r="AN163" s="274"/>
      <c r="AO163" s="274"/>
      <c r="AP163" s="274"/>
      <c r="AQ163" s="274"/>
      <c r="AR163" s="274"/>
      <c r="AS163" s="274"/>
      <c r="AT163" s="274"/>
      <c r="AU163" s="274"/>
      <c r="AV163" s="274"/>
      <c r="AW163" s="274"/>
      <c r="AX163" s="337"/>
      <c r="AY163" s="336"/>
      <c r="AZ163" s="274"/>
      <c r="BA163" s="274"/>
      <c r="BB163" s="274"/>
      <c r="BC163" s="274"/>
      <c r="BD163" s="274"/>
      <c r="BE163" s="274"/>
      <c r="BF163" s="274"/>
      <c r="BG163" s="274"/>
      <c r="BH163" s="274"/>
      <c r="BI163" s="274"/>
      <c r="BJ163" s="274"/>
      <c r="BK163" s="337"/>
      <c r="BL163" s="5"/>
      <c r="BM163" s="1"/>
      <c r="BN163" s="1"/>
      <c r="BO163" s="1"/>
      <c r="BP163" s="1"/>
      <c r="BQ163" s="1"/>
      <c r="BR163" s="1"/>
      <c r="BS163" s="1"/>
    </row>
    <row r="164" spans="1:71" ht="7.5" customHeight="1" x14ac:dyDescent="0.25">
      <c r="A164" s="6"/>
      <c r="B164" s="157" t="s">
        <v>1287</v>
      </c>
      <c r="C164" s="118"/>
      <c r="D164" s="118"/>
      <c r="E164" s="118"/>
      <c r="F164" s="118"/>
      <c r="G164" s="118"/>
      <c r="H164" s="118"/>
      <c r="I164" s="118"/>
      <c r="J164" s="118"/>
      <c r="K164" s="118"/>
      <c r="L164" s="118"/>
      <c r="M164" s="118"/>
      <c r="N164" s="118"/>
      <c r="O164" s="118"/>
      <c r="P164" s="118"/>
      <c r="Q164" s="118"/>
      <c r="R164" s="118"/>
      <c r="S164" s="118"/>
      <c r="T164" s="118"/>
      <c r="U164" s="118"/>
      <c r="V164" s="118"/>
      <c r="W164" s="118"/>
      <c r="X164" s="118"/>
      <c r="Y164" s="118"/>
      <c r="Z164" s="118"/>
      <c r="AA164" s="118"/>
      <c r="AB164" s="118"/>
      <c r="AC164" s="118"/>
      <c r="AD164" s="118"/>
      <c r="AE164" s="119"/>
      <c r="AF164" s="332"/>
      <c r="AG164" s="275"/>
      <c r="AH164" s="275"/>
      <c r="AI164" s="275"/>
      <c r="AJ164" s="275"/>
      <c r="AK164" s="275"/>
      <c r="AL164" s="275"/>
      <c r="AM164" s="275"/>
      <c r="AN164" s="275"/>
      <c r="AO164" s="275"/>
      <c r="AP164" s="275"/>
      <c r="AQ164" s="275"/>
      <c r="AR164" s="275"/>
      <c r="AS164" s="275"/>
      <c r="AT164" s="275"/>
      <c r="AU164" s="275"/>
      <c r="AV164" s="275"/>
      <c r="AW164" s="275"/>
      <c r="AX164" s="333"/>
      <c r="AY164" s="332"/>
      <c r="AZ164" s="275"/>
      <c r="BA164" s="275"/>
      <c r="BB164" s="275"/>
      <c r="BC164" s="275"/>
      <c r="BD164" s="275"/>
      <c r="BE164" s="275"/>
      <c r="BF164" s="275"/>
      <c r="BG164" s="275"/>
      <c r="BH164" s="275"/>
      <c r="BI164" s="275"/>
      <c r="BJ164" s="275"/>
      <c r="BK164" s="333"/>
      <c r="BL164" s="5"/>
      <c r="BM164" s="1"/>
      <c r="BN164" s="1"/>
      <c r="BO164" s="1"/>
      <c r="BP164" s="1"/>
      <c r="BQ164" s="1"/>
      <c r="BR164" s="1"/>
      <c r="BS164" s="1"/>
    </row>
    <row r="165" spans="1:71" ht="7.5" customHeight="1" x14ac:dyDescent="0.25">
      <c r="A165" s="6"/>
      <c r="B165" s="159"/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2"/>
      <c r="AF165" s="334"/>
      <c r="AG165" s="273"/>
      <c r="AH165" s="273"/>
      <c r="AI165" s="273"/>
      <c r="AJ165" s="273"/>
      <c r="AK165" s="273"/>
      <c r="AL165" s="273"/>
      <c r="AM165" s="273"/>
      <c r="AN165" s="273"/>
      <c r="AO165" s="273"/>
      <c r="AP165" s="273"/>
      <c r="AQ165" s="273"/>
      <c r="AR165" s="273"/>
      <c r="AS165" s="273"/>
      <c r="AT165" s="273"/>
      <c r="AU165" s="273"/>
      <c r="AV165" s="273"/>
      <c r="AW165" s="273"/>
      <c r="AX165" s="335"/>
      <c r="AY165" s="334"/>
      <c r="AZ165" s="273"/>
      <c r="BA165" s="273"/>
      <c r="BB165" s="273"/>
      <c r="BC165" s="273"/>
      <c r="BD165" s="273"/>
      <c r="BE165" s="273"/>
      <c r="BF165" s="273"/>
      <c r="BG165" s="273"/>
      <c r="BH165" s="273"/>
      <c r="BI165" s="273"/>
      <c r="BJ165" s="273"/>
      <c r="BK165" s="335"/>
      <c r="BL165" s="5"/>
      <c r="BM165" s="1"/>
      <c r="BN165" s="1"/>
      <c r="BO165" s="1"/>
      <c r="BP165" s="1"/>
      <c r="BQ165" s="1"/>
      <c r="BR165" s="1"/>
      <c r="BS165" s="1"/>
    </row>
    <row r="166" spans="1:71" ht="7.5" customHeight="1" x14ac:dyDescent="0.25">
      <c r="A166" s="6"/>
      <c r="B166" s="161"/>
      <c r="C166" s="124"/>
      <c r="D166" s="124"/>
      <c r="E166" s="124"/>
      <c r="F166" s="124"/>
      <c r="G166" s="124"/>
      <c r="H166" s="124"/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124"/>
      <c r="V166" s="124"/>
      <c r="W166" s="124"/>
      <c r="X166" s="124"/>
      <c r="Y166" s="124"/>
      <c r="Z166" s="124"/>
      <c r="AA166" s="124"/>
      <c r="AB166" s="124"/>
      <c r="AC166" s="124"/>
      <c r="AD166" s="124"/>
      <c r="AE166" s="125"/>
      <c r="AF166" s="336"/>
      <c r="AG166" s="274"/>
      <c r="AH166" s="274"/>
      <c r="AI166" s="274"/>
      <c r="AJ166" s="274"/>
      <c r="AK166" s="274"/>
      <c r="AL166" s="274"/>
      <c r="AM166" s="274"/>
      <c r="AN166" s="274"/>
      <c r="AO166" s="274"/>
      <c r="AP166" s="274"/>
      <c r="AQ166" s="274"/>
      <c r="AR166" s="274"/>
      <c r="AS166" s="274"/>
      <c r="AT166" s="274"/>
      <c r="AU166" s="274"/>
      <c r="AV166" s="274"/>
      <c r="AW166" s="274"/>
      <c r="AX166" s="337"/>
      <c r="AY166" s="336"/>
      <c r="AZ166" s="274"/>
      <c r="BA166" s="274"/>
      <c r="BB166" s="274"/>
      <c r="BC166" s="274"/>
      <c r="BD166" s="274"/>
      <c r="BE166" s="274"/>
      <c r="BF166" s="274"/>
      <c r="BG166" s="274"/>
      <c r="BH166" s="274"/>
      <c r="BI166" s="274"/>
      <c r="BJ166" s="274"/>
      <c r="BK166" s="337"/>
      <c r="BL166" s="5"/>
      <c r="BM166" s="1"/>
      <c r="BN166" s="1"/>
      <c r="BO166" s="1"/>
      <c r="BP166" s="1"/>
      <c r="BQ166" s="1"/>
      <c r="BR166" s="1"/>
      <c r="BS166" s="1"/>
    </row>
    <row r="167" spans="1:71" ht="7.5" customHeight="1" x14ac:dyDescent="0.25">
      <c r="A167" s="6"/>
      <c r="B167" s="157" t="s">
        <v>1288</v>
      </c>
      <c r="C167" s="118"/>
      <c r="D167" s="118"/>
      <c r="E167" s="118"/>
      <c r="F167" s="118"/>
      <c r="G167" s="118"/>
      <c r="H167" s="118"/>
      <c r="I167" s="118"/>
      <c r="J167" s="118"/>
      <c r="K167" s="118"/>
      <c r="L167" s="118"/>
      <c r="M167" s="118"/>
      <c r="N167" s="118"/>
      <c r="O167" s="118"/>
      <c r="P167" s="118"/>
      <c r="Q167" s="118"/>
      <c r="R167" s="118"/>
      <c r="S167" s="118"/>
      <c r="T167" s="118"/>
      <c r="U167" s="118"/>
      <c r="V167" s="118"/>
      <c r="W167" s="118"/>
      <c r="X167" s="118"/>
      <c r="Y167" s="118"/>
      <c r="Z167" s="118"/>
      <c r="AA167" s="118"/>
      <c r="AB167" s="118"/>
      <c r="AC167" s="118"/>
      <c r="AD167" s="118"/>
      <c r="AE167" s="119"/>
      <c r="AF167" s="332"/>
      <c r="AG167" s="275"/>
      <c r="AH167" s="275"/>
      <c r="AI167" s="275"/>
      <c r="AJ167" s="275"/>
      <c r="AK167" s="275"/>
      <c r="AL167" s="275"/>
      <c r="AM167" s="275"/>
      <c r="AN167" s="275"/>
      <c r="AO167" s="275"/>
      <c r="AP167" s="275"/>
      <c r="AQ167" s="275"/>
      <c r="AR167" s="275"/>
      <c r="AS167" s="275"/>
      <c r="AT167" s="275"/>
      <c r="AU167" s="275"/>
      <c r="AV167" s="275"/>
      <c r="AW167" s="275"/>
      <c r="AX167" s="333"/>
      <c r="AY167" s="332"/>
      <c r="AZ167" s="275"/>
      <c r="BA167" s="275"/>
      <c r="BB167" s="275"/>
      <c r="BC167" s="275"/>
      <c r="BD167" s="275"/>
      <c r="BE167" s="275"/>
      <c r="BF167" s="275"/>
      <c r="BG167" s="275"/>
      <c r="BH167" s="275"/>
      <c r="BI167" s="275"/>
      <c r="BJ167" s="275"/>
      <c r="BK167" s="333"/>
      <c r="BL167" s="5"/>
      <c r="BM167" s="1"/>
      <c r="BN167" s="1"/>
      <c r="BO167" s="1"/>
      <c r="BP167" s="1"/>
      <c r="BQ167" s="1"/>
      <c r="BR167" s="1"/>
      <c r="BS167" s="1"/>
    </row>
    <row r="168" spans="1:71" ht="7.5" customHeight="1" x14ac:dyDescent="0.25">
      <c r="A168" s="6"/>
      <c r="B168" s="159"/>
      <c r="C168" s="121"/>
      <c r="D168" s="121"/>
      <c r="E168" s="121"/>
      <c r="F168" s="121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2"/>
      <c r="AF168" s="334"/>
      <c r="AG168" s="273"/>
      <c r="AH168" s="273"/>
      <c r="AI168" s="273"/>
      <c r="AJ168" s="273"/>
      <c r="AK168" s="273"/>
      <c r="AL168" s="273"/>
      <c r="AM168" s="273"/>
      <c r="AN168" s="273"/>
      <c r="AO168" s="273"/>
      <c r="AP168" s="273"/>
      <c r="AQ168" s="273"/>
      <c r="AR168" s="273"/>
      <c r="AS168" s="273"/>
      <c r="AT168" s="273"/>
      <c r="AU168" s="273"/>
      <c r="AV168" s="273"/>
      <c r="AW168" s="273"/>
      <c r="AX168" s="335"/>
      <c r="AY168" s="334"/>
      <c r="AZ168" s="273"/>
      <c r="BA168" s="273"/>
      <c r="BB168" s="273"/>
      <c r="BC168" s="273"/>
      <c r="BD168" s="273"/>
      <c r="BE168" s="273"/>
      <c r="BF168" s="273"/>
      <c r="BG168" s="273"/>
      <c r="BH168" s="273"/>
      <c r="BI168" s="273"/>
      <c r="BJ168" s="273"/>
      <c r="BK168" s="335"/>
      <c r="BL168" s="5"/>
      <c r="BM168" s="1"/>
      <c r="BN168" s="1"/>
      <c r="BO168" s="1"/>
      <c r="BP168" s="1"/>
      <c r="BQ168" s="1"/>
      <c r="BR168" s="1"/>
      <c r="BS168" s="1"/>
    </row>
    <row r="169" spans="1:71" ht="7.5" customHeight="1" x14ac:dyDescent="0.25">
      <c r="A169" s="6"/>
      <c r="B169" s="161"/>
      <c r="C169" s="124"/>
      <c r="D169" s="124"/>
      <c r="E169" s="124"/>
      <c r="F169" s="124"/>
      <c r="G169" s="124"/>
      <c r="H169" s="124"/>
      <c r="I169" s="124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124"/>
      <c r="V169" s="124"/>
      <c r="W169" s="124"/>
      <c r="X169" s="124"/>
      <c r="Y169" s="124"/>
      <c r="Z169" s="124"/>
      <c r="AA169" s="124"/>
      <c r="AB169" s="124"/>
      <c r="AC169" s="124"/>
      <c r="AD169" s="124"/>
      <c r="AE169" s="125"/>
      <c r="AF169" s="336"/>
      <c r="AG169" s="274"/>
      <c r="AH169" s="274"/>
      <c r="AI169" s="274"/>
      <c r="AJ169" s="274"/>
      <c r="AK169" s="274"/>
      <c r="AL169" s="274"/>
      <c r="AM169" s="274"/>
      <c r="AN169" s="274"/>
      <c r="AO169" s="274"/>
      <c r="AP169" s="274"/>
      <c r="AQ169" s="274"/>
      <c r="AR169" s="274"/>
      <c r="AS169" s="274"/>
      <c r="AT169" s="274"/>
      <c r="AU169" s="274"/>
      <c r="AV169" s="274"/>
      <c r="AW169" s="274"/>
      <c r="AX169" s="337"/>
      <c r="AY169" s="336"/>
      <c r="AZ169" s="274"/>
      <c r="BA169" s="274"/>
      <c r="BB169" s="274"/>
      <c r="BC169" s="274"/>
      <c r="BD169" s="274"/>
      <c r="BE169" s="274"/>
      <c r="BF169" s="274"/>
      <c r="BG169" s="274"/>
      <c r="BH169" s="274"/>
      <c r="BI169" s="274"/>
      <c r="BJ169" s="274"/>
      <c r="BK169" s="337"/>
      <c r="BL169" s="5"/>
      <c r="BM169" s="1"/>
      <c r="BN169" s="1"/>
      <c r="BO169" s="1"/>
      <c r="BP169" s="1"/>
      <c r="BQ169" s="1"/>
      <c r="BR169" s="1"/>
      <c r="BS169" s="1"/>
    </row>
    <row r="170" spans="1:71" ht="7.5" customHeight="1" x14ac:dyDescent="0.25">
      <c r="A170" s="6"/>
      <c r="B170" s="157" t="s">
        <v>1289</v>
      </c>
      <c r="C170" s="118"/>
      <c r="D170" s="118"/>
      <c r="E170" s="118"/>
      <c r="F170" s="118"/>
      <c r="G170" s="118"/>
      <c r="H170" s="118"/>
      <c r="I170" s="118"/>
      <c r="J170" s="118"/>
      <c r="K170" s="118"/>
      <c r="L170" s="118"/>
      <c r="M170" s="118"/>
      <c r="N170" s="118"/>
      <c r="O170" s="118"/>
      <c r="P170" s="118"/>
      <c r="Q170" s="118"/>
      <c r="R170" s="118"/>
      <c r="S170" s="118"/>
      <c r="T170" s="118"/>
      <c r="U170" s="118"/>
      <c r="V170" s="118"/>
      <c r="W170" s="118"/>
      <c r="X170" s="118"/>
      <c r="Y170" s="118"/>
      <c r="Z170" s="118"/>
      <c r="AA170" s="118"/>
      <c r="AB170" s="118"/>
      <c r="AC170" s="118"/>
      <c r="AD170" s="118"/>
      <c r="AE170" s="119"/>
      <c r="AF170" s="332"/>
      <c r="AG170" s="275"/>
      <c r="AH170" s="275"/>
      <c r="AI170" s="275"/>
      <c r="AJ170" s="275"/>
      <c r="AK170" s="275"/>
      <c r="AL170" s="275"/>
      <c r="AM170" s="275"/>
      <c r="AN170" s="275"/>
      <c r="AO170" s="275"/>
      <c r="AP170" s="275"/>
      <c r="AQ170" s="275"/>
      <c r="AR170" s="275"/>
      <c r="AS170" s="275"/>
      <c r="AT170" s="275"/>
      <c r="AU170" s="275"/>
      <c r="AV170" s="275"/>
      <c r="AW170" s="275"/>
      <c r="AX170" s="333"/>
      <c r="AY170" s="332"/>
      <c r="AZ170" s="275"/>
      <c r="BA170" s="275"/>
      <c r="BB170" s="275"/>
      <c r="BC170" s="275"/>
      <c r="BD170" s="275"/>
      <c r="BE170" s="275"/>
      <c r="BF170" s="275"/>
      <c r="BG170" s="275"/>
      <c r="BH170" s="275"/>
      <c r="BI170" s="275"/>
      <c r="BJ170" s="275"/>
      <c r="BK170" s="333"/>
      <c r="BL170" s="5"/>
      <c r="BM170" s="1"/>
      <c r="BN170" s="1"/>
      <c r="BO170" s="1"/>
      <c r="BP170" s="1"/>
      <c r="BQ170" s="1"/>
      <c r="BR170" s="1"/>
      <c r="BS170" s="1"/>
    </row>
    <row r="171" spans="1:71" ht="7.5" customHeight="1" x14ac:dyDescent="0.25">
      <c r="A171" s="6"/>
      <c r="B171" s="159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2"/>
      <c r="AF171" s="334"/>
      <c r="AG171" s="273"/>
      <c r="AH171" s="273"/>
      <c r="AI171" s="273"/>
      <c r="AJ171" s="273"/>
      <c r="AK171" s="273"/>
      <c r="AL171" s="273"/>
      <c r="AM171" s="273"/>
      <c r="AN171" s="273"/>
      <c r="AO171" s="273"/>
      <c r="AP171" s="273"/>
      <c r="AQ171" s="273"/>
      <c r="AR171" s="273"/>
      <c r="AS171" s="273"/>
      <c r="AT171" s="273"/>
      <c r="AU171" s="273"/>
      <c r="AV171" s="273"/>
      <c r="AW171" s="273"/>
      <c r="AX171" s="335"/>
      <c r="AY171" s="334"/>
      <c r="AZ171" s="273"/>
      <c r="BA171" s="273"/>
      <c r="BB171" s="273"/>
      <c r="BC171" s="273"/>
      <c r="BD171" s="273"/>
      <c r="BE171" s="273"/>
      <c r="BF171" s="273"/>
      <c r="BG171" s="273"/>
      <c r="BH171" s="273"/>
      <c r="BI171" s="273"/>
      <c r="BJ171" s="273"/>
      <c r="BK171" s="335"/>
      <c r="BL171" s="5"/>
      <c r="BM171" s="1"/>
      <c r="BN171" s="1"/>
      <c r="BO171" s="1"/>
      <c r="BP171" s="1"/>
      <c r="BQ171" s="1"/>
      <c r="BR171" s="1"/>
      <c r="BS171" s="1"/>
    </row>
    <row r="172" spans="1:71" ht="7.5" customHeight="1" x14ac:dyDescent="0.25">
      <c r="A172" s="6"/>
      <c r="B172" s="161"/>
      <c r="C172" s="124"/>
      <c r="D172" s="124"/>
      <c r="E172" s="124"/>
      <c r="F172" s="124"/>
      <c r="G172" s="124"/>
      <c r="H172" s="124"/>
      <c r="I172" s="124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  <c r="T172" s="124"/>
      <c r="U172" s="124"/>
      <c r="V172" s="124"/>
      <c r="W172" s="124"/>
      <c r="X172" s="124"/>
      <c r="Y172" s="124"/>
      <c r="Z172" s="124"/>
      <c r="AA172" s="124"/>
      <c r="AB172" s="124"/>
      <c r="AC172" s="124"/>
      <c r="AD172" s="124"/>
      <c r="AE172" s="125"/>
      <c r="AF172" s="336"/>
      <c r="AG172" s="274"/>
      <c r="AH172" s="274"/>
      <c r="AI172" s="274"/>
      <c r="AJ172" s="274"/>
      <c r="AK172" s="274"/>
      <c r="AL172" s="274"/>
      <c r="AM172" s="274"/>
      <c r="AN172" s="274"/>
      <c r="AO172" s="274"/>
      <c r="AP172" s="274"/>
      <c r="AQ172" s="274"/>
      <c r="AR172" s="274"/>
      <c r="AS172" s="274"/>
      <c r="AT172" s="274"/>
      <c r="AU172" s="274"/>
      <c r="AV172" s="274"/>
      <c r="AW172" s="274"/>
      <c r="AX172" s="337"/>
      <c r="AY172" s="336"/>
      <c r="AZ172" s="274"/>
      <c r="BA172" s="274"/>
      <c r="BB172" s="274"/>
      <c r="BC172" s="274"/>
      <c r="BD172" s="274"/>
      <c r="BE172" s="274"/>
      <c r="BF172" s="274"/>
      <c r="BG172" s="274"/>
      <c r="BH172" s="274"/>
      <c r="BI172" s="274"/>
      <c r="BJ172" s="274"/>
      <c r="BK172" s="337"/>
      <c r="BL172" s="5"/>
      <c r="BM172" s="1"/>
      <c r="BN172" s="1"/>
      <c r="BO172" s="1"/>
      <c r="BP172" s="1"/>
      <c r="BQ172" s="1"/>
      <c r="BR172" s="1"/>
      <c r="BS172" s="1"/>
    </row>
    <row r="173" spans="1:71" ht="7.5" customHeight="1" x14ac:dyDescent="0.25">
      <c r="A173" s="6"/>
      <c r="B173" s="157"/>
      <c r="C173" s="118"/>
      <c r="D173" s="118"/>
      <c r="E173" s="118"/>
      <c r="F173" s="118"/>
      <c r="G173" s="118"/>
      <c r="H173" s="118"/>
      <c r="I173" s="118"/>
      <c r="J173" s="118"/>
      <c r="K173" s="118"/>
      <c r="L173" s="118"/>
      <c r="M173" s="118"/>
      <c r="N173" s="118"/>
      <c r="O173" s="118"/>
      <c r="P173" s="118"/>
      <c r="Q173" s="118"/>
      <c r="R173" s="118"/>
      <c r="S173" s="118"/>
      <c r="T173" s="118"/>
      <c r="U173" s="118"/>
      <c r="V173" s="118"/>
      <c r="W173" s="118"/>
      <c r="X173" s="118"/>
      <c r="Y173" s="118"/>
      <c r="Z173" s="118"/>
      <c r="AA173" s="118"/>
      <c r="AB173" s="118"/>
      <c r="AC173" s="118"/>
      <c r="AD173" s="118"/>
      <c r="AE173" s="119"/>
      <c r="AF173" s="332"/>
      <c r="AG173" s="275"/>
      <c r="AH173" s="275"/>
      <c r="AI173" s="275"/>
      <c r="AJ173" s="275"/>
      <c r="AK173" s="275"/>
      <c r="AL173" s="275"/>
      <c r="AM173" s="275"/>
      <c r="AN173" s="275"/>
      <c r="AO173" s="275"/>
      <c r="AP173" s="275"/>
      <c r="AQ173" s="275"/>
      <c r="AR173" s="275"/>
      <c r="AS173" s="275"/>
      <c r="AT173" s="275"/>
      <c r="AU173" s="275"/>
      <c r="AV173" s="275"/>
      <c r="AW173" s="275"/>
      <c r="AX173" s="333"/>
      <c r="AY173" s="332"/>
      <c r="AZ173" s="275"/>
      <c r="BA173" s="275"/>
      <c r="BB173" s="275"/>
      <c r="BC173" s="275"/>
      <c r="BD173" s="275"/>
      <c r="BE173" s="275"/>
      <c r="BF173" s="275"/>
      <c r="BG173" s="275"/>
      <c r="BH173" s="275"/>
      <c r="BI173" s="275"/>
      <c r="BJ173" s="275"/>
      <c r="BK173" s="333"/>
      <c r="BL173" s="5"/>
      <c r="BM173" s="1"/>
      <c r="BN173" s="1"/>
      <c r="BO173" s="1"/>
      <c r="BP173" s="1"/>
      <c r="BQ173" s="1"/>
      <c r="BR173" s="1"/>
      <c r="BS173" s="1"/>
    </row>
    <row r="174" spans="1:71" ht="7.5" customHeight="1" x14ac:dyDescent="0.25">
      <c r="A174" s="6"/>
      <c r="B174" s="159"/>
      <c r="C174" s="121"/>
      <c r="D174" s="121"/>
      <c r="E174" s="121"/>
      <c r="F174" s="121"/>
      <c r="G174" s="121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2"/>
      <c r="AF174" s="334"/>
      <c r="AG174" s="273"/>
      <c r="AH174" s="273"/>
      <c r="AI174" s="273"/>
      <c r="AJ174" s="273"/>
      <c r="AK174" s="273"/>
      <c r="AL174" s="273"/>
      <c r="AM174" s="273"/>
      <c r="AN174" s="273"/>
      <c r="AO174" s="273"/>
      <c r="AP174" s="273"/>
      <c r="AQ174" s="273"/>
      <c r="AR174" s="273"/>
      <c r="AS174" s="273"/>
      <c r="AT174" s="273"/>
      <c r="AU174" s="273"/>
      <c r="AV174" s="273"/>
      <c r="AW174" s="273"/>
      <c r="AX174" s="335"/>
      <c r="AY174" s="334"/>
      <c r="AZ174" s="273"/>
      <c r="BA174" s="273"/>
      <c r="BB174" s="273"/>
      <c r="BC174" s="273"/>
      <c r="BD174" s="273"/>
      <c r="BE174" s="273"/>
      <c r="BF174" s="273"/>
      <c r="BG174" s="273"/>
      <c r="BH174" s="273"/>
      <c r="BI174" s="273"/>
      <c r="BJ174" s="273"/>
      <c r="BK174" s="335"/>
      <c r="BL174" s="5"/>
      <c r="BM174" s="1"/>
      <c r="BN174" s="1"/>
      <c r="BO174" s="1"/>
      <c r="BP174" s="1"/>
      <c r="BQ174" s="1"/>
      <c r="BR174" s="1"/>
      <c r="BS174" s="1"/>
    </row>
    <row r="175" spans="1:71" ht="7.5" customHeight="1" x14ac:dyDescent="0.25">
      <c r="A175" s="6"/>
      <c r="B175" s="161"/>
      <c r="C175" s="124"/>
      <c r="D175" s="124"/>
      <c r="E175" s="124"/>
      <c r="F175" s="124"/>
      <c r="G175" s="124"/>
      <c r="H175" s="124"/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124"/>
      <c r="V175" s="124"/>
      <c r="W175" s="124"/>
      <c r="X175" s="124"/>
      <c r="Y175" s="124"/>
      <c r="Z175" s="124"/>
      <c r="AA175" s="124"/>
      <c r="AB175" s="124"/>
      <c r="AC175" s="124"/>
      <c r="AD175" s="124"/>
      <c r="AE175" s="125"/>
      <c r="AF175" s="336"/>
      <c r="AG175" s="274"/>
      <c r="AH175" s="274"/>
      <c r="AI175" s="274"/>
      <c r="AJ175" s="274"/>
      <c r="AK175" s="274"/>
      <c r="AL175" s="274"/>
      <c r="AM175" s="274"/>
      <c r="AN175" s="274"/>
      <c r="AO175" s="274"/>
      <c r="AP175" s="274"/>
      <c r="AQ175" s="274"/>
      <c r="AR175" s="274"/>
      <c r="AS175" s="274"/>
      <c r="AT175" s="274"/>
      <c r="AU175" s="274"/>
      <c r="AV175" s="274"/>
      <c r="AW175" s="274"/>
      <c r="AX175" s="337"/>
      <c r="AY175" s="336"/>
      <c r="AZ175" s="274"/>
      <c r="BA175" s="274"/>
      <c r="BB175" s="274"/>
      <c r="BC175" s="274"/>
      <c r="BD175" s="274"/>
      <c r="BE175" s="274"/>
      <c r="BF175" s="274"/>
      <c r="BG175" s="274"/>
      <c r="BH175" s="274"/>
      <c r="BI175" s="274"/>
      <c r="BJ175" s="274"/>
      <c r="BK175" s="337"/>
      <c r="BL175" s="5"/>
      <c r="BM175" s="1"/>
      <c r="BN175" s="1"/>
      <c r="BO175" s="1"/>
      <c r="BP175" s="1"/>
      <c r="BQ175" s="1"/>
      <c r="BR175" s="1"/>
      <c r="BS175" s="1"/>
    </row>
    <row r="176" spans="1:71" ht="7.5" customHeight="1" x14ac:dyDescent="0.25">
      <c r="A176" s="6"/>
      <c r="B176" s="275"/>
      <c r="C176" s="275"/>
      <c r="D176" s="275"/>
      <c r="E176" s="275"/>
      <c r="F176" s="275"/>
      <c r="G176" s="275"/>
      <c r="H176" s="275"/>
      <c r="I176" s="275"/>
      <c r="J176" s="275"/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AJ176" s="275"/>
      <c r="AK176" s="275"/>
      <c r="AL176" s="275"/>
      <c r="AM176" s="275"/>
      <c r="AN176" s="275"/>
      <c r="AO176" s="275"/>
      <c r="AP176" s="275"/>
      <c r="AQ176" s="275"/>
      <c r="AR176" s="275"/>
      <c r="AS176" s="275"/>
      <c r="AT176" s="275"/>
      <c r="AU176" s="275"/>
      <c r="AV176" s="275"/>
      <c r="AW176" s="275"/>
      <c r="AX176" s="275"/>
      <c r="AY176" s="275"/>
      <c r="AZ176" s="275"/>
      <c r="BA176" s="275"/>
      <c r="BB176" s="275"/>
      <c r="BC176" s="275"/>
      <c r="BD176" s="275"/>
      <c r="BE176" s="275"/>
      <c r="BF176" s="275"/>
      <c r="BG176" s="275"/>
      <c r="BH176" s="275"/>
      <c r="BI176" s="275"/>
      <c r="BJ176" s="275"/>
      <c r="BK176" s="275"/>
      <c r="BL176" s="5"/>
      <c r="BM176" s="1"/>
      <c r="BN176" s="1"/>
      <c r="BO176" s="1"/>
      <c r="BP176" s="1"/>
      <c r="BQ176" s="1"/>
      <c r="BR176" s="1"/>
      <c r="BS176" s="1"/>
    </row>
    <row r="177" spans="1:71" ht="7.5" customHeight="1" x14ac:dyDescent="0.25">
      <c r="A177" s="6"/>
      <c r="B177" s="273"/>
      <c r="C177" s="273"/>
      <c r="D177" s="273"/>
      <c r="E177" s="273"/>
      <c r="F177" s="273"/>
      <c r="G177" s="273"/>
      <c r="H177" s="273"/>
      <c r="I177" s="273"/>
      <c r="J177" s="273"/>
      <c r="K177" s="273"/>
      <c r="L177" s="273"/>
      <c r="M177" s="273"/>
      <c r="N177" s="273"/>
      <c r="O177" s="273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3"/>
      <c r="AG177" s="273"/>
      <c r="AH177" s="273"/>
      <c r="AI177" s="273"/>
      <c r="AJ177" s="273"/>
      <c r="AK177" s="273"/>
      <c r="AL177" s="273"/>
      <c r="AM177" s="273"/>
      <c r="AN177" s="273"/>
      <c r="AO177" s="273"/>
      <c r="AP177" s="273"/>
      <c r="AQ177" s="273"/>
      <c r="AR177" s="273"/>
      <c r="AS177" s="273"/>
      <c r="AT177" s="273"/>
      <c r="AU177" s="273"/>
      <c r="AV177" s="273"/>
      <c r="AW177" s="273"/>
      <c r="AX177" s="273"/>
      <c r="AY177" s="273"/>
      <c r="AZ177" s="273"/>
      <c r="BA177" s="273"/>
      <c r="BB177" s="273"/>
      <c r="BC177" s="273"/>
      <c r="BD177" s="273"/>
      <c r="BE177" s="273"/>
      <c r="BF177" s="273"/>
      <c r="BG177" s="273"/>
      <c r="BH177" s="273"/>
      <c r="BI177" s="273"/>
      <c r="BJ177" s="273"/>
      <c r="BK177" s="273"/>
      <c r="BL177" s="5"/>
      <c r="BM177" s="1"/>
      <c r="BN177" s="1"/>
      <c r="BO177" s="1"/>
      <c r="BP177" s="1"/>
      <c r="BQ177" s="1"/>
      <c r="BR177" s="1"/>
      <c r="BS177" s="1"/>
    </row>
    <row r="178" spans="1:71" ht="7.5" customHeight="1" x14ac:dyDescent="0.25">
      <c r="A178" s="6"/>
      <c r="B178" s="273"/>
      <c r="C178" s="273"/>
      <c r="D178" s="273"/>
      <c r="E178" s="273"/>
      <c r="F178" s="273"/>
      <c r="G178" s="273"/>
      <c r="H178" s="273"/>
      <c r="I178" s="273"/>
      <c r="J178" s="273"/>
      <c r="K178" s="273"/>
      <c r="L178" s="273"/>
      <c r="M178" s="273"/>
      <c r="N178" s="273"/>
      <c r="O178" s="273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3"/>
      <c r="AG178" s="273"/>
      <c r="AH178" s="273"/>
      <c r="AI178" s="273"/>
      <c r="AJ178" s="273"/>
      <c r="AK178" s="273"/>
      <c r="AL178" s="273"/>
      <c r="AM178" s="273"/>
      <c r="AN178" s="273"/>
      <c r="AO178" s="273"/>
      <c r="AP178" s="273"/>
      <c r="AQ178" s="273"/>
      <c r="AR178" s="273"/>
      <c r="AS178" s="273"/>
      <c r="AT178" s="273"/>
      <c r="AU178" s="273"/>
      <c r="AV178" s="273"/>
      <c r="AW178" s="273"/>
      <c r="AX178" s="273"/>
      <c r="AY178" s="273"/>
      <c r="AZ178" s="273"/>
      <c r="BA178" s="273"/>
      <c r="BB178" s="273"/>
      <c r="BC178" s="273"/>
      <c r="BD178" s="273"/>
      <c r="BE178" s="273"/>
      <c r="BF178" s="273"/>
      <c r="BG178" s="273"/>
      <c r="BH178" s="273"/>
      <c r="BI178" s="273"/>
      <c r="BJ178" s="273"/>
      <c r="BK178" s="273"/>
      <c r="BL178" s="5"/>
      <c r="BM178" s="1"/>
      <c r="BN178" s="1"/>
      <c r="BO178" s="1"/>
      <c r="BP178" s="1"/>
      <c r="BQ178" s="1"/>
      <c r="BR178" s="1"/>
      <c r="BS178" s="1"/>
    </row>
    <row r="179" spans="1:71" ht="7.5" customHeight="1" x14ac:dyDescent="0.25">
      <c r="A179" s="6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  <c r="BI179" s="17"/>
      <c r="BJ179" s="17"/>
      <c r="BK179" s="17"/>
      <c r="BL179" s="5"/>
      <c r="BM179" s="1"/>
      <c r="BN179" s="1"/>
      <c r="BO179" s="1"/>
      <c r="BP179" s="1"/>
      <c r="BQ179" s="1"/>
      <c r="BR179" s="1"/>
      <c r="BS179" s="1"/>
    </row>
    <row r="180" spans="1:71" ht="7.5" customHeight="1" x14ac:dyDescent="0.25">
      <c r="A180" s="6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  <c r="BI180" s="17"/>
      <c r="BJ180" s="17"/>
      <c r="BK180" s="17"/>
      <c r="BL180" s="5"/>
      <c r="BM180" s="1"/>
      <c r="BN180" s="1"/>
      <c r="BO180" s="1"/>
      <c r="BP180" s="1"/>
      <c r="BQ180" s="1"/>
      <c r="BR180" s="1"/>
      <c r="BS180" s="1"/>
    </row>
    <row r="181" spans="1:71" ht="7.5" customHeight="1" x14ac:dyDescent="0.25">
      <c r="A181" s="6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  <c r="BI181" s="17"/>
      <c r="BJ181" s="17"/>
      <c r="BK181" s="17"/>
      <c r="BL181" s="5"/>
      <c r="BM181" s="1"/>
      <c r="BN181" s="1"/>
      <c r="BO181" s="1"/>
      <c r="BP181" s="1"/>
      <c r="BQ181" s="1"/>
      <c r="BR181" s="1"/>
      <c r="BS181" s="1"/>
    </row>
    <row r="182" spans="1:71" ht="7.5" customHeight="1" x14ac:dyDescent="0.25">
      <c r="A182" s="6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  <c r="BI182" s="17"/>
      <c r="BJ182" s="17"/>
      <c r="BK182" s="17"/>
      <c r="BL182" s="5"/>
      <c r="BM182" s="1"/>
      <c r="BN182" s="1"/>
      <c r="BO182" s="1"/>
      <c r="BP182" s="1"/>
      <c r="BQ182" s="1"/>
      <c r="BR182" s="1"/>
      <c r="BS182" s="1"/>
    </row>
    <row r="183" spans="1:71" ht="7.5" customHeight="1" x14ac:dyDescent="0.25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5"/>
      <c r="BM183" s="1"/>
      <c r="BN183" s="1"/>
      <c r="BO183" s="1"/>
      <c r="BP183" s="1"/>
      <c r="BQ183" s="1"/>
      <c r="BR183" s="1"/>
      <c r="BS183" s="1"/>
    </row>
    <row r="184" spans="1:71" ht="7.5" customHeight="1" x14ac:dyDescent="0.25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5"/>
      <c r="BM184" s="1"/>
      <c r="BN184" s="1"/>
      <c r="BO184" s="1"/>
      <c r="BP184" s="1"/>
      <c r="BQ184" s="1"/>
      <c r="BR184" s="1"/>
      <c r="BS184" s="1"/>
    </row>
    <row r="185" spans="1:71" ht="7.5" customHeight="1" x14ac:dyDescent="0.25">
      <c r="A185" s="6"/>
      <c r="B185" s="1"/>
      <c r="C185" s="1"/>
      <c r="D185" s="1"/>
      <c r="E185" s="1"/>
      <c r="F185" s="1"/>
      <c r="G185" s="55"/>
      <c r="H185" s="55"/>
      <c r="I185" s="55"/>
      <c r="J185" s="55"/>
      <c r="K185" s="55"/>
      <c r="L185" s="55"/>
      <c r="M185" s="55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5"/>
      <c r="BM185" s="1"/>
      <c r="BN185" s="1"/>
      <c r="BO185" s="1"/>
      <c r="BP185" s="1"/>
      <c r="BQ185" s="1"/>
      <c r="BR185" s="1"/>
      <c r="BS185" s="1"/>
    </row>
    <row r="186" spans="1:71" ht="7.5" customHeight="1" x14ac:dyDescent="0.25">
      <c r="A186" s="6"/>
      <c r="B186" s="1"/>
      <c r="C186" s="1"/>
      <c r="D186" s="1"/>
      <c r="E186" s="1"/>
      <c r="F186" s="1"/>
      <c r="G186" s="55"/>
      <c r="H186" s="55"/>
      <c r="I186" s="55"/>
      <c r="J186" s="55"/>
      <c r="K186" s="55"/>
      <c r="L186" s="55"/>
      <c r="M186" s="55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5"/>
      <c r="BM186" s="1"/>
      <c r="BN186" s="1"/>
      <c r="BO186" s="1"/>
      <c r="BP186" s="1"/>
      <c r="BQ186" s="1"/>
      <c r="BR186" s="1"/>
      <c r="BS186" s="1"/>
    </row>
    <row r="187" spans="1:71" ht="7.5" customHeight="1" x14ac:dyDescent="0.25">
      <c r="A187" s="6"/>
      <c r="B187" s="1"/>
      <c r="C187" s="1"/>
      <c r="D187" s="1"/>
      <c r="E187" s="1"/>
      <c r="F187" s="1"/>
      <c r="G187" s="55"/>
      <c r="H187" s="55"/>
      <c r="I187" s="55"/>
      <c r="J187" s="55"/>
      <c r="K187" s="55"/>
      <c r="L187" s="55"/>
      <c r="M187" s="55"/>
      <c r="N187" s="1"/>
      <c r="O187" s="1"/>
      <c r="P187" s="1"/>
      <c r="Q187" s="17"/>
      <c r="R187" s="17"/>
      <c r="S187" s="17"/>
      <c r="T187" s="17"/>
      <c r="U187" s="1"/>
      <c r="V187" s="1"/>
      <c r="W187" s="1"/>
      <c r="X187" s="1"/>
      <c r="Y187" s="57"/>
      <c r="Z187" s="57"/>
      <c r="AA187" s="57"/>
      <c r="AB187" s="57"/>
      <c r="AC187" s="1"/>
      <c r="AD187" s="1"/>
      <c r="AE187" s="1"/>
      <c r="AF187" s="1"/>
      <c r="AG187" s="1"/>
      <c r="AH187" s="1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5"/>
      <c r="BM187" s="1"/>
      <c r="BN187" s="1"/>
      <c r="BO187" s="1"/>
      <c r="BP187" s="1"/>
      <c r="BQ187" s="1"/>
      <c r="BR187" s="1"/>
      <c r="BS187" s="1"/>
    </row>
    <row r="188" spans="1:71" ht="7.5" customHeight="1" x14ac:dyDescent="0.25">
      <c r="A188" s="6"/>
      <c r="B188" s="1"/>
      <c r="C188" s="1"/>
      <c r="D188" s="1"/>
      <c r="E188" s="1"/>
      <c r="F188" s="1"/>
      <c r="G188" s="55"/>
      <c r="H188" s="55"/>
      <c r="I188" s="55"/>
      <c r="J188" s="55"/>
      <c r="K188" s="55"/>
      <c r="L188" s="55"/>
      <c r="M188" s="55"/>
      <c r="N188" s="1"/>
      <c r="O188" s="1"/>
      <c r="P188" s="40"/>
      <c r="Q188" s="17"/>
      <c r="R188" s="17"/>
      <c r="S188" s="17"/>
      <c r="T188" s="17"/>
      <c r="U188" s="1"/>
      <c r="V188" s="1"/>
      <c r="W188" s="1"/>
      <c r="X188" s="1"/>
      <c r="Y188" s="57"/>
      <c r="Z188" s="57"/>
      <c r="AA188" s="57"/>
      <c r="AB188" s="57"/>
      <c r="AC188" s="1"/>
      <c r="AD188" s="1"/>
      <c r="AE188" s="1"/>
      <c r="AF188" s="1"/>
      <c r="AG188" s="1"/>
      <c r="AH188" s="1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5"/>
      <c r="BM188" s="1"/>
      <c r="BN188" s="1"/>
      <c r="BO188" s="1"/>
      <c r="BP188" s="1"/>
      <c r="BQ188" s="1"/>
      <c r="BR188" s="1"/>
      <c r="BS188" s="1"/>
    </row>
    <row r="189" spans="1:71" ht="7.5" customHeight="1" x14ac:dyDescent="0.25">
      <c r="A189" s="6"/>
      <c r="B189" s="1"/>
      <c r="C189" s="1"/>
      <c r="D189" s="1"/>
      <c r="E189" s="1"/>
      <c r="F189" s="1"/>
      <c r="G189" s="55"/>
      <c r="H189" s="55"/>
      <c r="I189" s="55"/>
      <c r="J189" s="55"/>
      <c r="K189" s="55"/>
      <c r="L189" s="55"/>
      <c r="M189" s="55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5"/>
      <c r="BM189" s="1"/>
      <c r="BN189" s="1"/>
      <c r="BO189" s="1"/>
      <c r="BP189" s="1"/>
      <c r="BQ189" s="1"/>
      <c r="BR189" s="1"/>
      <c r="BS189" s="1"/>
    </row>
    <row r="190" spans="1:71" ht="7.5" customHeight="1" x14ac:dyDescent="0.25">
      <c r="A190" s="6"/>
      <c r="B190" s="17"/>
      <c r="C190" s="17"/>
      <c r="D190" s="17"/>
      <c r="E190" s="17"/>
      <c r="F190" s="17"/>
      <c r="G190" s="1"/>
      <c r="H190" s="1"/>
      <c r="I190" s="1"/>
      <c r="J190" s="1"/>
      <c r="K190" s="1"/>
      <c r="L190" s="1"/>
      <c r="M190" s="1"/>
      <c r="N190" s="4"/>
      <c r="O190" s="4"/>
      <c r="P190" s="4"/>
      <c r="Q190" s="4"/>
      <c r="R190" s="4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5"/>
      <c r="BM190" s="1"/>
      <c r="BN190" s="1"/>
      <c r="BO190" s="1"/>
      <c r="BP190" s="1"/>
      <c r="BQ190" s="1"/>
      <c r="BR190" s="1"/>
      <c r="BS190" s="1"/>
    </row>
    <row r="191" spans="1:71" ht="7.5" customHeight="1" x14ac:dyDescent="0.25">
      <c r="A191" s="6"/>
      <c r="B191" s="17"/>
      <c r="C191" s="17"/>
      <c r="D191" s="17"/>
      <c r="E191" s="17"/>
      <c r="F191" s="17"/>
      <c r="G191" s="1"/>
      <c r="H191" s="1"/>
      <c r="I191" s="1"/>
      <c r="J191" s="1"/>
      <c r="K191" s="1"/>
      <c r="L191" s="1"/>
      <c r="M191" s="1"/>
      <c r="N191" s="4"/>
      <c r="O191" s="4"/>
      <c r="P191" s="4"/>
      <c r="Q191" s="4"/>
      <c r="R191" s="4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5"/>
      <c r="BM191" s="1"/>
      <c r="BN191" s="1"/>
      <c r="BO191" s="1"/>
      <c r="BP191" s="1"/>
      <c r="BQ191" s="1"/>
      <c r="BR191" s="1"/>
      <c r="BS191" s="1"/>
    </row>
    <row r="192" spans="1:71" ht="7.5" customHeight="1" x14ac:dyDescent="0.25">
      <c r="A192" s="6"/>
      <c r="B192" s="17"/>
      <c r="C192" s="17"/>
      <c r="D192" s="17"/>
      <c r="E192" s="17"/>
      <c r="F192" s="17"/>
      <c r="G192" s="1"/>
      <c r="H192" s="1"/>
      <c r="I192" s="1"/>
      <c r="J192" s="1"/>
      <c r="K192" s="1"/>
      <c r="L192" s="1"/>
      <c r="M192" s="1"/>
      <c r="N192" s="4"/>
      <c r="O192" s="4"/>
      <c r="P192" s="4"/>
      <c r="Q192" s="4"/>
      <c r="R192" s="4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5"/>
      <c r="BM192" s="1"/>
      <c r="BN192" s="1"/>
      <c r="BO192" s="1"/>
      <c r="BP192" s="1"/>
      <c r="BQ192" s="1"/>
      <c r="BR192" s="1"/>
      <c r="BS192" s="1"/>
    </row>
    <row r="193" spans="1:71" ht="7.5" customHeight="1" x14ac:dyDescent="0.25">
      <c r="A193" s="6"/>
      <c r="B193" s="17"/>
      <c r="C193" s="17"/>
      <c r="D193" s="17"/>
      <c r="E193" s="17"/>
      <c r="F193" s="17"/>
      <c r="G193" s="1"/>
      <c r="H193" s="1"/>
      <c r="I193" s="1"/>
      <c r="J193" s="1"/>
      <c r="K193" s="1"/>
      <c r="L193" s="1"/>
      <c r="M193" s="1"/>
      <c r="N193" s="4"/>
      <c r="O193" s="4"/>
      <c r="P193" s="4"/>
      <c r="Q193" s="4"/>
      <c r="R193" s="4"/>
      <c r="S193" s="4"/>
      <c r="T193" s="4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5"/>
      <c r="BM193" s="1"/>
      <c r="BN193" s="1"/>
      <c r="BO193" s="1"/>
      <c r="BP193" s="1"/>
      <c r="BQ193" s="1"/>
      <c r="BR193" s="1"/>
      <c r="BS193" s="1"/>
    </row>
    <row r="194" spans="1:71" ht="7.5" customHeight="1" x14ac:dyDescent="0.25">
      <c r="A194" s="6"/>
      <c r="B194" s="17"/>
      <c r="C194" s="17"/>
      <c r="D194" s="17"/>
      <c r="E194" s="17"/>
      <c r="F194" s="17"/>
      <c r="G194" s="1"/>
      <c r="H194" s="1"/>
      <c r="I194" s="1"/>
      <c r="J194" s="1"/>
      <c r="K194" s="1"/>
      <c r="L194" s="1"/>
      <c r="M194" s="1"/>
      <c r="N194" s="4"/>
      <c r="O194" s="4"/>
      <c r="P194" s="4"/>
      <c r="Q194" s="4"/>
      <c r="R194" s="4"/>
      <c r="S194" s="4"/>
      <c r="T194" s="4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5"/>
      <c r="BM194" s="1"/>
      <c r="BN194" s="1"/>
      <c r="BO194" s="1"/>
      <c r="BP194" s="1"/>
      <c r="BQ194" s="1"/>
      <c r="BR194" s="1"/>
      <c r="BS194" s="1"/>
    </row>
    <row r="195" spans="1:71" ht="7.5" customHeight="1" x14ac:dyDescent="0.25">
      <c r="A195" s="6"/>
      <c r="B195" s="17"/>
      <c r="C195" s="17"/>
      <c r="D195" s="17"/>
      <c r="E195" s="17"/>
      <c r="F195" s="17"/>
      <c r="G195" s="1"/>
      <c r="H195" s="1"/>
      <c r="I195" s="1"/>
      <c r="J195" s="1"/>
      <c r="K195" s="1"/>
      <c r="L195" s="1"/>
      <c r="M195" s="1"/>
      <c r="N195" s="4"/>
      <c r="O195" s="4"/>
      <c r="P195" s="4"/>
      <c r="Q195" s="4"/>
      <c r="R195" s="4"/>
      <c r="S195" s="4"/>
      <c r="T195" s="4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5"/>
      <c r="BM195" s="1"/>
      <c r="BN195" s="1"/>
      <c r="BO195" s="1"/>
      <c r="BP195" s="1"/>
      <c r="BQ195" s="1"/>
      <c r="BR195" s="1"/>
      <c r="BS195" s="1"/>
    </row>
    <row r="196" spans="1:71" ht="7.5" customHeight="1" x14ac:dyDescent="0.25">
      <c r="A196" s="6"/>
      <c r="B196" s="17"/>
      <c r="C196" s="17"/>
      <c r="D196" s="17"/>
      <c r="E196" s="17"/>
      <c r="F196" s="17"/>
      <c r="G196" s="1"/>
      <c r="H196" s="1"/>
      <c r="I196" s="1"/>
      <c r="J196" s="1"/>
      <c r="K196" s="1"/>
      <c r="L196" s="1"/>
      <c r="M196" s="1"/>
      <c r="N196" s="4"/>
      <c r="O196" s="4"/>
      <c r="P196" s="4"/>
      <c r="Q196" s="4"/>
      <c r="R196" s="4"/>
      <c r="S196" s="4"/>
      <c r="T196" s="4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5"/>
      <c r="BM196" s="1"/>
      <c r="BN196" s="1"/>
      <c r="BO196" s="1"/>
      <c r="BP196" s="1"/>
      <c r="BQ196" s="1"/>
      <c r="BR196" s="1"/>
      <c r="BS196" s="1"/>
    </row>
    <row r="197" spans="1:71" ht="7.5" customHeight="1" x14ac:dyDescent="0.25">
      <c r="A197" s="6"/>
      <c r="B197" s="17"/>
      <c r="C197" s="17"/>
      <c r="D197" s="17"/>
      <c r="E197" s="17"/>
      <c r="F197" s="17"/>
      <c r="G197" s="1"/>
      <c r="H197" s="1"/>
      <c r="I197" s="1"/>
      <c r="J197" s="1"/>
      <c r="K197" s="1"/>
      <c r="L197" s="1"/>
      <c r="M197" s="1"/>
      <c r="N197" s="4"/>
      <c r="O197" s="4"/>
      <c r="P197" s="4"/>
      <c r="Q197" s="4"/>
      <c r="R197" s="4"/>
      <c r="S197" s="4"/>
      <c r="T197" s="4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5"/>
      <c r="BM197" s="1"/>
      <c r="BN197" s="1"/>
      <c r="BO197" s="1"/>
      <c r="BP197" s="1"/>
      <c r="BQ197" s="1"/>
      <c r="BR197" s="1"/>
      <c r="BS197" s="1"/>
    </row>
    <row r="198" spans="1:71" ht="7.5" customHeight="1" x14ac:dyDescent="0.25">
      <c r="A198" s="6"/>
      <c r="B198" s="17"/>
      <c r="C198" s="17"/>
      <c r="D198" s="17"/>
      <c r="E198" s="17"/>
      <c r="F198" s="17"/>
      <c r="G198" s="1"/>
      <c r="H198" s="1"/>
      <c r="I198" s="1"/>
      <c r="J198" s="1"/>
      <c r="K198" s="1"/>
      <c r="L198" s="1"/>
      <c r="M198" s="1"/>
      <c r="N198" s="4"/>
      <c r="O198" s="4"/>
      <c r="P198" s="4"/>
      <c r="Q198" s="4"/>
      <c r="R198" s="4"/>
      <c r="S198" s="4"/>
      <c r="T198" s="4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5"/>
      <c r="BM198" s="1"/>
      <c r="BN198" s="1"/>
      <c r="BO198" s="1"/>
      <c r="BP198" s="1"/>
      <c r="BQ198" s="1"/>
      <c r="BR198" s="1"/>
      <c r="BS198" s="1"/>
    </row>
    <row r="199" spans="1:71" ht="7.5" customHeight="1" x14ac:dyDescent="0.25">
      <c r="A199" s="58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B199" s="20"/>
      <c r="BC199" s="20"/>
      <c r="BD199" s="20"/>
      <c r="BE199" s="20"/>
      <c r="BF199" s="20"/>
      <c r="BG199" s="20"/>
      <c r="BH199" s="20"/>
      <c r="BI199" s="20"/>
      <c r="BJ199" s="20"/>
      <c r="BK199" s="20"/>
      <c r="BL199" s="59"/>
      <c r="BM199" s="1"/>
      <c r="BN199" s="1"/>
      <c r="BO199" s="1"/>
      <c r="BP199" s="1"/>
      <c r="BQ199" s="1"/>
      <c r="BR199" s="1"/>
      <c r="BS199" s="1"/>
    </row>
    <row r="200" spans="1:71" ht="7.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</row>
    <row r="201" spans="1:71" ht="7.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</row>
    <row r="202" spans="1:71" ht="7.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</row>
    <row r="203" spans="1:71" ht="7.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</row>
    <row r="204" spans="1:71" ht="7.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</row>
    <row r="205" spans="1:71" ht="7.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271" t="s">
        <v>1251</v>
      </c>
      <c r="AQ205" s="271"/>
      <c r="AR205" s="271"/>
      <c r="AS205" s="271"/>
      <c r="AT205" s="271"/>
      <c r="AU205" s="271"/>
      <c r="AV205" s="271"/>
      <c r="AW205" s="271"/>
      <c r="AX205" s="271"/>
      <c r="AY205" s="271"/>
      <c r="AZ205" s="271"/>
      <c r="BA205" s="271"/>
      <c r="BB205" s="271"/>
      <c r="BC205" s="271"/>
      <c r="BD205" s="271"/>
      <c r="BE205" s="271"/>
      <c r="BF205" s="271"/>
      <c r="BG205" s="271"/>
      <c r="BH205" s="273" t="s">
        <v>1256</v>
      </c>
      <c r="BI205" s="352" t="s">
        <v>1257</v>
      </c>
      <c r="BJ205" s="352"/>
      <c r="BK205" s="352"/>
      <c r="BL205" s="352"/>
      <c r="BM205" s="1"/>
      <c r="BN205" s="1"/>
      <c r="BO205" s="1"/>
      <c r="BP205" s="1"/>
      <c r="BQ205" s="1"/>
      <c r="BR205" s="1"/>
      <c r="BS205" s="1"/>
    </row>
    <row r="206" spans="1:71" ht="7.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272"/>
      <c r="AQ206" s="272"/>
      <c r="AR206" s="272"/>
      <c r="AS206" s="272"/>
      <c r="AT206" s="272"/>
      <c r="AU206" s="272"/>
      <c r="AV206" s="272"/>
      <c r="AW206" s="272"/>
      <c r="AX206" s="272"/>
      <c r="AY206" s="272"/>
      <c r="AZ206" s="272"/>
      <c r="BA206" s="272"/>
      <c r="BB206" s="272"/>
      <c r="BC206" s="272"/>
      <c r="BD206" s="272"/>
      <c r="BE206" s="272"/>
      <c r="BF206" s="272"/>
      <c r="BG206" s="272"/>
      <c r="BH206" s="274"/>
      <c r="BI206" s="353"/>
      <c r="BJ206" s="353"/>
      <c r="BK206" s="353"/>
      <c r="BL206" s="353"/>
      <c r="BM206" s="1"/>
      <c r="BN206" s="1"/>
      <c r="BO206" s="1"/>
      <c r="BP206" s="1"/>
      <c r="BQ206" s="1"/>
      <c r="BR206" s="1"/>
      <c r="BS206" s="1"/>
    </row>
    <row r="207" spans="1:71" ht="7.5" customHeight="1" x14ac:dyDescent="0.25">
      <c r="A207" s="38"/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  <c r="AK207" s="60"/>
      <c r="AL207" s="60"/>
      <c r="AM207" s="60"/>
      <c r="AN207" s="60"/>
      <c r="AO207" s="60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5"/>
      <c r="BM207" s="1"/>
      <c r="BN207" s="1"/>
      <c r="BO207" s="1"/>
      <c r="BP207" s="1"/>
      <c r="BQ207" s="1"/>
      <c r="BR207" s="1"/>
      <c r="BS207" s="1"/>
    </row>
    <row r="208" spans="1:71" ht="7.5" customHeight="1" thickBot="1" x14ac:dyDescent="0.3">
      <c r="A208" s="6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5"/>
      <c r="BM208" s="1"/>
      <c r="BN208" s="1"/>
      <c r="BO208" s="1"/>
      <c r="BP208" s="1"/>
      <c r="BQ208" s="1"/>
      <c r="BR208" s="1"/>
      <c r="BS208" s="1"/>
    </row>
    <row r="209" spans="1:125" ht="7.5" customHeight="1" thickTop="1" x14ac:dyDescent="0.25">
      <c r="A209" s="6"/>
      <c r="B209" s="1"/>
      <c r="C209" s="1"/>
      <c r="D209" s="1"/>
      <c r="E209" s="1"/>
      <c r="F209" s="1"/>
      <c r="G209" s="276" t="s">
        <v>1258</v>
      </c>
      <c r="H209" s="277"/>
      <c r="I209" s="277"/>
      <c r="J209" s="277"/>
      <c r="K209" s="277"/>
      <c r="L209" s="277"/>
      <c r="M209" s="277"/>
      <c r="N209" s="277"/>
      <c r="O209" s="277"/>
      <c r="P209" s="277"/>
      <c r="Q209" s="277"/>
      <c r="R209" s="277"/>
      <c r="S209" s="277"/>
      <c r="T209" s="277"/>
      <c r="U209" s="277"/>
      <c r="V209" s="277"/>
      <c r="W209" s="277"/>
      <c r="X209" s="277"/>
      <c r="Y209" s="277"/>
      <c r="Z209" s="277"/>
      <c r="AA209" s="277"/>
      <c r="AB209" s="277"/>
      <c r="AC209" s="277"/>
      <c r="AD209" s="277"/>
      <c r="AE209" s="277"/>
      <c r="AF209" s="277"/>
      <c r="AG209" s="277"/>
      <c r="AH209" s="277"/>
      <c r="AI209" s="277"/>
      <c r="AJ209" s="277"/>
      <c r="AK209" s="277"/>
      <c r="AL209" s="277"/>
      <c r="AM209" s="277"/>
      <c r="AN209" s="277"/>
      <c r="AO209" s="277"/>
      <c r="AP209" s="277"/>
      <c r="AQ209" s="278"/>
      <c r="AR209" s="1"/>
      <c r="AS209" s="1"/>
      <c r="AT209" s="1"/>
      <c r="AU209" s="1"/>
      <c r="AV209" s="1"/>
      <c r="AW209" s="1"/>
      <c r="AX209" s="1"/>
      <c r="AY209" s="1"/>
      <c r="AZ209" s="358" t="s">
        <v>1259</v>
      </c>
      <c r="BA209" s="358"/>
      <c r="BB209" s="358"/>
      <c r="BC209" s="358"/>
      <c r="BD209" s="358"/>
      <c r="BE209" s="358"/>
      <c r="BF209" s="358"/>
      <c r="BG209" s="358"/>
      <c r="BH209" s="1"/>
      <c r="BI209" s="1"/>
      <c r="BJ209" s="1"/>
      <c r="BK209" s="1"/>
      <c r="BL209" s="5"/>
      <c r="BM209" s="1"/>
      <c r="BN209" s="1"/>
      <c r="BO209" s="1"/>
      <c r="BP209" s="1"/>
      <c r="BQ209" s="1"/>
      <c r="BR209" s="1"/>
      <c r="BS209" s="1"/>
    </row>
    <row r="210" spans="1:125" ht="7.5" customHeight="1" x14ac:dyDescent="0.25">
      <c r="A210" s="6"/>
      <c r="B210" s="1"/>
      <c r="C210" s="1"/>
      <c r="D210" s="1"/>
      <c r="E210" s="1"/>
      <c r="F210" s="1"/>
      <c r="G210" s="279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100"/>
      <c r="AE210" s="100"/>
      <c r="AF210" s="100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280"/>
      <c r="AR210" s="1"/>
      <c r="AS210" s="1"/>
      <c r="AT210" s="1"/>
      <c r="AU210" s="1"/>
      <c r="AV210" s="1"/>
      <c r="AW210" s="1"/>
      <c r="AX210" s="1"/>
      <c r="AY210" s="1"/>
      <c r="AZ210" s="358"/>
      <c r="BA210" s="358"/>
      <c r="BB210" s="358"/>
      <c r="BC210" s="358"/>
      <c r="BD210" s="358"/>
      <c r="BE210" s="358"/>
      <c r="BF210" s="358"/>
      <c r="BG210" s="358"/>
      <c r="BH210" s="1"/>
      <c r="BI210" s="1"/>
      <c r="BJ210" s="1"/>
      <c r="BK210" s="1"/>
      <c r="BL210" s="5"/>
      <c r="BM210" s="1"/>
      <c r="BN210" s="1"/>
      <c r="BO210" s="1"/>
      <c r="BP210" s="1"/>
      <c r="BQ210" s="1"/>
      <c r="BR210" s="1"/>
      <c r="BS210" s="1"/>
    </row>
    <row r="211" spans="1:125" ht="7.5" customHeight="1" thickBot="1" x14ac:dyDescent="0.3">
      <c r="A211" s="6"/>
      <c r="B211" s="1"/>
      <c r="C211" s="1"/>
      <c r="D211" s="1"/>
      <c r="E211" s="1"/>
      <c r="F211" s="1"/>
      <c r="G211" s="281"/>
      <c r="H211" s="282"/>
      <c r="I211" s="282"/>
      <c r="J211" s="282"/>
      <c r="K211" s="282"/>
      <c r="L211" s="282"/>
      <c r="M211" s="282"/>
      <c r="N211" s="282"/>
      <c r="O211" s="282"/>
      <c r="P211" s="282"/>
      <c r="Q211" s="282"/>
      <c r="R211" s="282"/>
      <c r="S211" s="282"/>
      <c r="T211" s="282"/>
      <c r="U211" s="282"/>
      <c r="V211" s="282"/>
      <c r="W211" s="282"/>
      <c r="X211" s="282"/>
      <c r="Y211" s="282"/>
      <c r="Z211" s="282"/>
      <c r="AA211" s="282"/>
      <c r="AB211" s="282"/>
      <c r="AC211" s="282"/>
      <c r="AD211" s="282"/>
      <c r="AE211" s="282"/>
      <c r="AF211" s="282"/>
      <c r="AG211" s="282"/>
      <c r="AH211" s="282"/>
      <c r="AI211" s="282"/>
      <c r="AJ211" s="282"/>
      <c r="AK211" s="282"/>
      <c r="AL211" s="282"/>
      <c r="AM211" s="282"/>
      <c r="AN211" s="282"/>
      <c r="AO211" s="282"/>
      <c r="AP211" s="282"/>
      <c r="AQ211" s="283"/>
      <c r="AR211" s="1"/>
      <c r="AS211" s="1"/>
      <c r="AT211" s="1"/>
      <c r="AU211" s="1"/>
      <c r="AV211" s="1"/>
      <c r="AW211" s="1"/>
      <c r="AX211" s="1"/>
      <c r="AY211" s="1"/>
      <c r="AZ211" s="358"/>
      <c r="BA211" s="358"/>
      <c r="BB211" s="358"/>
      <c r="BC211" s="358"/>
      <c r="BD211" s="358"/>
      <c r="BE211" s="358"/>
      <c r="BF211" s="358"/>
      <c r="BG211" s="358"/>
      <c r="BH211" s="1"/>
      <c r="BI211" s="1"/>
      <c r="BJ211" s="1"/>
      <c r="BK211" s="1"/>
      <c r="BL211" s="5"/>
      <c r="BM211" s="1"/>
      <c r="BN211" s="1"/>
      <c r="BO211" s="1"/>
      <c r="BP211" s="1"/>
      <c r="BQ211" s="1"/>
      <c r="BR211" s="1"/>
      <c r="BS211" s="1"/>
    </row>
    <row r="212" spans="1:125" ht="7.5" customHeight="1" thickTop="1" x14ac:dyDescent="0.25">
      <c r="A212" s="6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5"/>
      <c r="BM212" s="1"/>
      <c r="BN212" s="1"/>
      <c r="BO212" s="1"/>
      <c r="BP212" s="1"/>
      <c r="BQ212" s="1"/>
      <c r="BR212" s="1"/>
      <c r="BS212" s="1"/>
    </row>
    <row r="213" spans="1:125" ht="7.5" customHeight="1" x14ac:dyDescent="0.25">
      <c r="A213" s="6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5"/>
      <c r="BM213" s="1"/>
      <c r="BN213" s="1"/>
      <c r="BO213" s="1"/>
      <c r="BP213" s="1"/>
      <c r="BQ213" s="1"/>
      <c r="BR213" s="1"/>
      <c r="BS213" s="1"/>
    </row>
    <row r="214" spans="1:125" ht="7.5" customHeight="1" x14ac:dyDescent="0.25">
      <c r="A214" s="6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5"/>
      <c r="BM214" s="1"/>
      <c r="BN214" s="1"/>
      <c r="BO214" s="1"/>
      <c r="BP214" s="1"/>
      <c r="BQ214" s="1"/>
      <c r="BR214" s="1"/>
      <c r="BS214" s="1"/>
    </row>
    <row r="215" spans="1:125" ht="7.5" customHeight="1" x14ac:dyDescent="0.25">
      <c r="A215" s="6"/>
      <c r="B215" s="245" t="s">
        <v>1290</v>
      </c>
      <c r="C215" s="246"/>
      <c r="D215" s="246"/>
      <c r="E215" s="246"/>
      <c r="F215" s="246"/>
      <c r="G215" s="246"/>
      <c r="H215" s="246"/>
      <c r="I215" s="246"/>
      <c r="J215" s="246"/>
      <c r="K215" s="246"/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  <c r="AK215" s="246"/>
      <c r="AL215" s="246"/>
      <c r="AM215" s="246"/>
      <c r="AN215" s="246"/>
      <c r="AO215" s="246"/>
      <c r="AP215" s="246"/>
      <c r="AQ215" s="246"/>
      <c r="AR215" s="246"/>
      <c r="AS215" s="246"/>
      <c r="AT215" s="246"/>
      <c r="AU215" s="246"/>
      <c r="AV215" s="246"/>
      <c r="AW215" s="246"/>
      <c r="AX215" s="246"/>
      <c r="AY215" s="246"/>
      <c r="AZ215" s="246"/>
      <c r="BA215" s="246"/>
      <c r="BB215" s="246"/>
      <c r="BC215" s="246"/>
      <c r="BD215" s="246"/>
      <c r="BE215" s="246"/>
      <c r="BF215" s="246"/>
      <c r="BG215" s="246"/>
      <c r="BH215" s="246"/>
      <c r="BI215" s="246"/>
      <c r="BJ215" s="246"/>
      <c r="BK215" s="247"/>
      <c r="BL215" s="5"/>
      <c r="BM215" s="1"/>
      <c r="BN215" s="1"/>
      <c r="BO215" s="1"/>
      <c r="BP215" s="1"/>
      <c r="BQ215" s="1"/>
      <c r="BR215" s="1"/>
      <c r="BS215" s="1"/>
    </row>
    <row r="216" spans="1:125" ht="7.5" customHeight="1" x14ac:dyDescent="0.25">
      <c r="A216" s="6"/>
      <c r="B216" s="248"/>
      <c r="C216" s="249"/>
      <c r="D216" s="249"/>
      <c r="E216" s="249"/>
      <c r="F216" s="249"/>
      <c r="G216" s="249"/>
      <c r="H216" s="249"/>
      <c r="I216" s="249"/>
      <c r="J216" s="249"/>
      <c r="K216" s="249"/>
      <c r="L216" s="249"/>
      <c r="M216" s="249"/>
      <c r="N216" s="249"/>
      <c r="O216" s="249"/>
      <c r="P216" s="249"/>
      <c r="Q216" s="249"/>
      <c r="R216" s="249"/>
      <c r="S216" s="249"/>
      <c r="T216" s="249"/>
      <c r="U216" s="249"/>
      <c r="V216" s="249"/>
      <c r="W216" s="249"/>
      <c r="X216" s="249"/>
      <c r="Y216" s="249"/>
      <c r="Z216" s="249"/>
      <c r="AA216" s="249"/>
      <c r="AB216" s="249"/>
      <c r="AC216" s="249"/>
      <c r="AD216" s="249"/>
      <c r="AE216" s="249"/>
      <c r="AF216" s="249"/>
      <c r="AG216" s="249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  <c r="AR216" s="249"/>
      <c r="AS216" s="249"/>
      <c r="AT216" s="249"/>
      <c r="AU216" s="249"/>
      <c r="AV216" s="249"/>
      <c r="AW216" s="249"/>
      <c r="AX216" s="249"/>
      <c r="AY216" s="249"/>
      <c r="AZ216" s="249"/>
      <c r="BA216" s="249"/>
      <c r="BB216" s="249"/>
      <c r="BC216" s="249"/>
      <c r="BD216" s="249"/>
      <c r="BE216" s="249"/>
      <c r="BF216" s="249"/>
      <c r="BG216" s="249"/>
      <c r="BH216" s="249"/>
      <c r="BI216" s="249"/>
      <c r="BJ216" s="249"/>
      <c r="BK216" s="250"/>
      <c r="BL216" s="5"/>
      <c r="BM216" s="1"/>
      <c r="BN216" s="1"/>
      <c r="BO216" s="1"/>
      <c r="BP216" s="1"/>
      <c r="BQ216" s="1"/>
      <c r="BR216" s="1"/>
      <c r="BS216" s="1"/>
    </row>
    <row r="217" spans="1:125" ht="7.5" customHeight="1" x14ac:dyDescent="0.25">
      <c r="A217" s="6"/>
      <c r="B217" s="248"/>
      <c r="C217" s="249"/>
      <c r="D217" s="249"/>
      <c r="E217" s="249"/>
      <c r="F217" s="249"/>
      <c r="G217" s="249"/>
      <c r="H217" s="249"/>
      <c r="I217" s="249"/>
      <c r="J217" s="249"/>
      <c r="K217" s="249"/>
      <c r="L217" s="249"/>
      <c r="M217" s="249"/>
      <c r="N217" s="249"/>
      <c r="O217" s="249"/>
      <c r="P217" s="249"/>
      <c r="Q217" s="249"/>
      <c r="R217" s="249"/>
      <c r="S217" s="249"/>
      <c r="T217" s="249"/>
      <c r="U217" s="249"/>
      <c r="V217" s="249"/>
      <c r="W217" s="249"/>
      <c r="X217" s="249"/>
      <c r="Y217" s="249"/>
      <c r="Z217" s="249"/>
      <c r="AA217" s="249"/>
      <c r="AB217" s="249"/>
      <c r="AC217" s="249"/>
      <c r="AD217" s="249"/>
      <c r="AE217" s="249"/>
      <c r="AF217" s="249"/>
      <c r="AG217" s="249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  <c r="AR217" s="249"/>
      <c r="AS217" s="249"/>
      <c r="AT217" s="249"/>
      <c r="AU217" s="249"/>
      <c r="AV217" s="249"/>
      <c r="AW217" s="249"/>
      <c r="AX217" s="249"/>
      <c r="AY217" s="249"/>
      <c r="AZ217" s="249"/>
      <c r="BA217" s="249"/>
      <c r="BB217" s="249"/>
      <c r="BC217" s="249"/>
      <c r="BD217" s="249"/>
      <c r="BE217" s="249"/>
      <c r="BF217" s="249"/>
      <c r="BG217" s="249"/>
      <c r="BH217" s="249"/>
      <c r="BI217" s="249"/>
      <c r="BJ217" s="249"/>
      <c r="BK217" s="250"/>
      <c r="BL217" s="5"/>
      <c r="BM217" s="1"/>
      <c r="BN217" s="1"/>
      <c r="BO217" s="1"/>
      <c r="BP217" s="1"/>
      <c r="BQ217" s="1"/>
      <c r="BR217" s="1"/>
      <c r="BS217" s="1"/>
    </row>
    <row r="218" spans="1:125" ht="7.5" customHeight="1" x14ac:dyDescent="0.25">
      <c r="A218" s="6"/>
      <c r="B218" s="284"/>
      <c r="C218" s="285"/>
      <c r="D218" s="285"/>
      <c r="E218" s="285"/>
      <c r="F218" s="285"/>
      <c r="G218" s="285"/>
      <c r="H218" s="285"/>
      <c r="I218" s="285"/>
      <c r="J218" s="285"/>
      <c r="K218" s="285"/>
      <c r="L218" s="285"/>
      <c r="M218" s="285"/>
      <c r="N218" s="285"/>
      <c r="O218" s="285"/>
      <c r="P218" s="285"/>
      <c r="Q218" s="285"/>
      <c r="R218" s="285"/>
      <c r="S218" s="285"/>
      <c r="T218" s="285"/>
      <c r="U218" s="285"/>
      <c r="V218" s="285"/>
      <c r="W218" s="285"/>
      <c r="X218" s="285"/>
      <c r="Y218" s="285"/>
      <c r="Z218" s="285"/>
      <c r="AA218" s="285"/>
      <c r="AB218" s="285"/>
      <c r="AC218" s="285"/>
      <c r="AD218" s="285"/>
      <c r="AE218" s="285"/>
      <c r="AF218" s="285"/>
      <c r="AG218" s="285"/>
      <c r="AH218" s="285"/>
      <c r="AI218" s="285"/>
      <c r="AJ218" s="285"/>
      <c r="AK218" s="285"/>
      <c r="AL218" s="285"/>
      <c r="AM218" s="285"/>
      <c r="AN218" s="285"/>
      <c r="AO218" s="285"/>
      <c r="AP218" s="285"/>
      <c r="AQ218" s="285"/>
      <c r="AR218" s="285"/>
      <c r="AS218" s="285"/>
      <c r="AT218" s="285"/>
      <c r="AU218" s="285"/>
      <c r="AV218" s="285"/>
      <c r="AW218" s="285"/>
      <c r="AX218" s="285"/>
      <c r="AY218" s="285"/>
      <c r="AZ218" s="285"/>
      <c r="BA218" s="285"/>
      <c r="BB218" s="285"/>
      <c r="BC218" s="285"/>
      <c r="BD218" s="285"/>
      <c r="BE218" s="285"/>
      <c r="BF218" s="285"/>
      <c r="BG218" s="285"/>
      <c r="BH218" s="285"/>
      <c r="BI218" s="285"/>
      <c r="BJ218" s="285"/>
      <c r="BK218" s="286"/>
      <c r="BL218" s="5"/>
      <c r="BM218" s="1"/>
      <c r="BN218" s="1"/>
      <c r="BO218" s="1"/>
      <c r="BP218" s="1"/>
      <c r="BQ218" s="1"/>
      <c r="BR218" s="1"/>
      <c r="BS218" s="1"/>
    </row>
    <row r="219" spans="1:125" ht="7.5" customHeight="1" x14ac:dyDescent="0.25">
      <c r="A219" s="6"/>
      <c r="B219" s="359" t="s">
        <v>1291</v>
      </c>
      <c r="C219" s="360"/>
      <c r="D219" s="360"/>
      <c r="E219" s="360"/>
      <c r="F219" s="360"/>
      <c r="G219" s="360"/>
      <c r="H219" s="360"/>
      <c r="I219" s="360"/>
      <c r="J219" s="360"/>
      <c r="K219" s="360"/>
      <c r="L219" s="360"/>
      <c r="M219" s="360"/>
      <c r="N219" s="360"/>
      <c r="O219" s="360"/>
      <c r="P219" s="360"/>
      <c r="Q219" s="360"/>
      <c r="R219" s="360"/>
      <c r="S219" s="360"/>
      <c r="T219" s="360"/>
      <c r="U219" s="360"/>
      <c r="V219" s="360"/>
      <c r="W219" s="360"/>
      <c r="X219" s="360"/>
      <c r="Y219" s="360"/>
      <c r="Z219" s="360"/>
      <c r="AA219" s="360"/>
      <c r="AB219" s="360"/>
      <c r="AC219" s="360"/>
      <c r="AD219" s="360"/>
      <c r="AE219" s="360"/>
      <c r="AF219" s="360"/>
      <c r="AG219" s="360"/>
      <c r="AH219" s="360"/>
      <c r="AI219" s="360"/>
      <c r="AJ219" s="360"/>
      <c r="AK219" s="360"/>
      <c r="AL219" s="360"/>
      <c r="AM219" s="360"/>
      <c r="AN219" s="360"/>
      <c r="AO219" s="360"/>
      <c r="AP219" s="360"/>
      <c r="AQ219" s="360"/>
      <c r="AR219" s="360"/>
      <c r="AS219" s="360"/>
      <c r="AT219" s="360"/>
      <c r="AU219" s="360"/>
      <c r="AV219" s="360"/>
      <c r="AW219" s="360"/>
      <c r="AX219" s="360"/>
      <c r="AY219" s="360"/>
      <c r="AZ219" s="360"/>
      <c r="BA219" s="360"/>
      <c r="BB219" s="360"/>
      <c r="BC219" s="360"/>
      <c r="BD219" s="360"/>
      <c r="BE219" s="360"/>
      <c r="BF219" s="360"/>
      <c r="BG219" s="360"/>
      <c r="BH219" s="360"/>
      <c r="BI219" s="360"/>
      <c r="BJ219" s="360"/>
      <c r="BK219" s="361"/>
      <c r="BL219" s="5"/>
      <c r="BM219" s="1"/>
      <c r="BN219" s="1"/>
      <c r="BO219" s="1"/>
      <c r="BP219" s="1"/>
      <c r="BQ219" s="1"/>
      <c r="BR219" s="1"/>
      <c r="BS219" s="1"/>
    </row>
    <row r="220" spans="1:125" ht="7.5" customHeight="1" x14ac:dyDescent="0.25">
      <c r="A220" s="6"/>
      <c r="B220" s="356"/>
      <c r="C220" s="357"/>
      <c r="D220" s="357"/>
      <c r="E220" s="357"/>
      <c r="F220" s="357"/>
      <c r="G220" s="357"/>
      <c r="H220" s="357"/>
      <c r="I220" s="357"/>
      <c r="J220" s="357"/>
      <c r="K220" s="357"/>
      <c r="L220" s="357"/>
      <c r="M220" s="357"/>
      <c r="N220" s="357"/>
      <c r="O220" s="357"/>
      <c r="P220" s="357"/>
      <c r="Q220" s="357"/>
      <c r="R220" s="357"/>
      <c r="S220" s="357"/>
      <c r="T220" s="357"/>
      <c r="U220" s="357"/>
      <c r="V220" s="357"/>
      <c r="W220" s="357"/>
      <c r="X220" s="357"/>
      <c r="Y220" s="357"/>
      <c r="Z220" s="357"/>
      <c r="AA220" s="357"/>
      <c r="AB220" s="357"/>
      <c r="AC220" s="357"/>
      <c r="AD220" s="357"/>
      <c r="AE220" s="357"/>
      <c r="AF220" s="357"/>
      <c r="AG220" s="357"/>
      <c r="AH220" s="357"/>
      <c r="AI220" s="357"/>
      <c r="AJ220" s="357"/>
      <c r="AK220" s="357"/>
      <c r="AL220" s="357"/>
      <c r="AM220" s="357"/>
      <c r="AN220" s="357"/>
      <c r="AO220" s="357"/>
      <c r="AP220" s="357"/>
      <c r="AQ220" s="357"/>
      <c r="AR220" s="357"/>
      <c r="AS220" s="357"/>
      <c r="AT220" s="357"/>
      <c r="AU220" s="357"/>
      <c r="AV220" s="357"/>
      <c r="AW220" s="357"/>
      <c r="AX220" s="357"/>
      <c r="AY220" s="357"/>
      <c r="AZ220" s="357"/>
      <c r="BA220" s="357"/>
      <c r="BB220" s="357"/>
      <c r="BC220" s="357"/>
      <c r="BD220" s="357"/>
      <c r="BE220" s="357"/>
      <c r="BF220" s="357"/>
      <c r="BG220" s="357"/>
      <c r="BH220" s="357"/>
      <c r="BI220" s="357"/>
      <c r="BJ220" s="357"/>
      <c r="BK220" s="362"/>
      <c r="BL220" s="5"/>
      <c r="BM220" s="1"/>
      <c r="BN220" s="1"/>
      <c r="BO220" s="1"/>
      <c r="BP220" s="1"/>
      <c r="BQ220" s="1"/>
      <c r="BR220" s="1"/>
      <c r="BS220" s="1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</row>
    <row r="221" spans="1:125" ht="7.5" customHeight="1" x14ac:dyDescent="0.25">
      <c r="A221" s="6"/>
      <c r="B221" s="38"/>
      <c r="C221" s="60"/>
      <c r="D221" s="60"/>
      <c r="E221" s="60"/>
      <c r="F221" s="39"/>
      <c r="G221" s="172" t="s">
        <v>1292</v>
      </c>
      <c r="H221" s="363"/>
      <c r="I221" s="363"/>
      <c r="J221" s="363"/>
      <c r="K221" s="363"/>
      <c r="L221" s="363"/>
      <c r="M221" s="364"/>
      <c r="N221" s="365" t="s">
        <v>1275</v>
      </c>
      <c r="O221" s="366"/>
      <c r="P221" s="366"/>
      <c r="Q221" s="366"/>
      <c r="R221" s="366"/>
      <c r="S221" s="366"/>
      <c r="T221" s="366"/>
      <c r="U221" s="366"/>
      <c r="V221" s="366"/>
      <c r="W221" s="366"/>
      <c r="X221" s="366"/>
      <c r="Y221" s="366"/>
      <c r="Z221" s="366"/>
      <c r="AA221" s="366"/>
      <c r="AB221" s="366"/>
      <c r="AC221" s="366"/>
      <c r="AD221" s="366"/>
      <c r="AE221" s="366"/>
      <c r="AF221" s="366"/>
      <c r="AG221" s="366"/>
      <c r="AH221" s="367"/>
      <c r="AI221" s="157" t="s">
        <v>1276</v>
      </c>
      <c r="AJ221" s="118"/>
      <c r="AK221" s="118"/>
      <c r="AL221" s="118"/>
      <c r="AM221" s="118"/>
      <c r="AN221" s="118"/>
      <c r="AO221" s="324" t="s">
        <v>1362</v>
      </c>
      <c r="AP221" s="324"/>
      <c r="AQ221" s="324"/>
      <c r="AR221" s="324"/>
      <c r="AS221" s="324"/>
      <c r="AT221" s="324"/>
      <c r="AU221" s="324"/>
      <c r="AV221" s="324"/>
      <c r="AW221" s="324"/>
      <c r="AX221" s="324"/>
      <c r="AY221" s="324"/>
      <c r="AZ221" s="324"/>
      <c r="BA221" s="324"/>
      <c r="BB221" s="324"/>
      <c r="BC221" s="324"/>
      <c r="BD221" s="324"/>
      <c r="BE221" s="324"/>
      <c r="BF221" s="324"/>
      <c r="BG221" s="324"/>
      <c r="BH221" s="324"/>
      <c r="BI221" s="324"/>
      <c r="BJ221" s="324"/>
      <c r="BK221" s="325"/>
      <c r="BL221" s="5"/>
      <c r="BM221" s="1"/>
      <c r="BN221" s="1"/>
      <c r="BO221" s="1"/>
      <c r="BP221" s="1"/>
      <c r="BQ221" s="1"/>
      <c r="BR221" s="1"/>
      <c r="BS221" s="1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</row>
    <row r="222" spans="1:125" ht="7.5" customHeight="1" x14ac:dyDescent="0.25">
      <c r="A222" s="6"/>
      <c r="B222" s="6"/>
      <c r="C222" s="1"/>
      <c r="D222" s="1"/>
      <c r="E222" s="1"/>
      <c r="F222" s="5"/>
      <c r="G222" s="261"/>
      <c r="H222" s="262"/>
      <c r="I222" s="262"/>
      <c r="J222" s="262"/>
      <c r="K222" s="262"/>
      <c r="L222" s="262"/>
      <c r="M222" s="263"/>
      <c r="N222" s="368"/>
      <c r="O222" s="369"/>
      <c r="P222" s="369"/>
      <c r="Q222" s="369"/>
      <c r="R222" s="369"/>
      <c r="S222" s="369"/>
      <c r="T222" s="369"/>
      <c r="U222" s="369"/>
      <c r="V222" s="369"/>
      <c r="W222" s="369"/>
      <c r="X222" s="369"/>
      <c r="Y222" s="369"/>
      <c r="Z222" s="369"/>
      <c r="AA222" s="369"/>
      <c r="AB222" s="369"/>
      <c r="AC222" s="369"/>
      <c r="AD222" s="369"/>
      <c r="AE222" s="369"/>
      <c r="AF222" s="369"/>
      <c r="AG222" s="369"/>
      <c r="AH222" s="370"/>
      <c r="AI222" s="159"/>
      <c r="AJ222" s="121"/>
      <c r="AK222" s="121"/>
      <c r="AL222" s="121"/>
      <c r="AM222" s="121"/>
      <c r="AN222" s="121"/>
      <c r="AO222" s="327"/>
      <c r="AP222" s="327"/>
      <c r="AQ222" s="327"/>
      <c r="AR222" s="327"/>
      <c r="AS222" s="327"/>
      <c r="AT222" s="327"/>
      <c r="AU222" s="327"/>
      <c r="AV222" s="327"/>
      <c r="AW222" s="327"/>
      <c r="AX222" s="327"/>
      <c r="AY222" s="327"/>
      <c r="AZ222" s="327"/>
      <c r="BA222" s="327"/>
      <c r="BB222" s="327"/>
      <c r="BC222" s="327"/>
      <c r="BD222" s="327"/>
      <c r="BE222" s="327"/>
      <c r="BF222" s="327"/>
      <c r="BG222" s="327"/>
      <c r="BH222" s="327"/>
      <c r="BI222" s="327"/>
      <c r="BJ222" s="327"/>
      <c r="BK222" s="328"/>
      <c r="BL222" s="5"/>
      <c r="BM222" s="1"/>
      <c r="BN222" s="1"/>
      <c r="BO222" s="1"/>
      <c r="BP222" s="1"/>
      <c r="BQ222" s="1"/>
      <c r="BR222" s="1"/>
      <c r="BS222" s="1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</row>
    <row r="223" spans="1:125" ht="7.5" customHeight="1" x14ac:dyDescent="0.25">
      <c r="A223" s="6"/>
      <c r="B223" s="6"/>
      <c r="C223" s="1"/>
      <c r="D223" s="1"/>
      <c r="E223" s="1"/>
      <c r="F223" s="5"/>
      <c r="G223" s="261"/>
      <c r="H223" s="262"/>
      <c r="I223" s="262"/>
      <c r="J223" s="262"/>
      <c r="K223" s="262"/>
      <c r="L223" s="262"/>
      <c r="M223" s="263"/>
      <c r="N223" s="6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5"/>
      <c r="AI223" s="159"/>
      <c r="AJ223" s="121"/>
      <c r="AK223" s="121"/>
      <c r="AL223" s="121"/>
      <c r="AM223" s="121"/>
      <c r="AN223" s="121"/>
      <c r="AO223" s="327"/>
      <c r="AP223" s="327"/>
      <c r="AQ223" s="327"/>
      <c r="AR223" s="327"/>
      <c r="AS223" s="327"/>
      <c r="AT223" s="327"/>
      <c r="AU223" s="327"/>
      <c r="AV223" s="327"/>
      <c r="AW223" s="327"/>
      <c r="AX223" s="327"/>
      <c r="AY223" s="327"/>
      <c r="AZ223" s="327"/>
      <c r="BA223" s="327"/>
      <c r="BB223" s="327"/>
      <c r="BC223" s="327"/>
      <c r="BD223" s="327"/>
      <c r="BE223" s="327"/>
      <c r="BF223" s="327"/>
      <c r="BG223" s="327"/>
      <c r="BH223" s="327"/>
      <c r="BI223" s="327"/>
      <c r="BJ223" s="327"/>
      <c r="BK223" s="328"/>
      <c r="BL223" s="5"/>
      <c r="BM223" s="1"/>
      <c r="BN223" s="1"/>
      <c r="BO223" s="1"/>
      <c r="BP223" s="1"/>
      <c r="BQ223" s="1"/>
      <c r="BR223" s="1"/>
      <c r="BS223" s="1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</row>
    <row r="224" spans="1:125" ht="7.5" customHeight="1" x14ac:dyDescent="0.25">
      <c r="A224" s="6"/>
      <c r="B224" s="6"/>
      <c r="C224" s="1"/>
      <c r="D224" s="1"/>
      <c r="E224" s="1"/>
      <c r="F224" s="5"/>
      <c r="G224" s="261"/>
      <c r="H224" s="262"/>
      <c r="I224" s="262"/>
      <c r="J224" s="262"/>
      <c r="K224" s="262"/>
      <c r="L224" s="262"/>
      <c r="M224" s="263"/>
      <c r="N224" s="6"/>
      <c r="O224" s="1"/>
      <c r="P224" s="1"/>
      <c r="Q224" s="100" t="s">
        <v>1293</v>
      </c>
      <c r="R224" s="100"/>
      <c r="S224" s="100"/>
      <c r="T224" s="17"/>
      <c r="U224" s="1"/>
      <c r="V224" s="1"/>
      <c r="W224" s="1"/>
      <c r="X224" s="1"/>
      <c r="Y224" s="109" t="s">
        <v>1294</v>
      </c>
      <c r="Z224" s="109"/>
      <c r="AA224" s="109"/>
      <c r="AB224" s="57"/>
      <c r="AC224" s="1"/>
      <c r="AD224" s="1"/>
      <c r="AE224" s="1"/>
      <c r="AF224" s="1"/>
      <c r="AG224" s="1"/>
      <c r="AH224" s="5"/>
      <c r="AI224" s="159"/>
      <c r="AJ224" s="121"/>
      <c r="AK224" s="121"/>
      <c r="AL224" s="121"/>
      <c r="AM224" s="121"/>
      <c r="AN224" s="121"/>
      <c r="AO224" s="327"/>
      <c r="AP224" s="327"/>
      <c r="AQ224" s="327"/>
      <c r="AR224" s="327"/>
      <c r="AS224" s="327"/>
      <c r="AT224" s="327"/>
      <c r="AU224" s="327"/>
      <c r="AV224" s="327"/>
      <c r="AW224" s="327"/>
      <c r="AX224" s="327"/>
      <c r="AY224" s="327"/>
      <c r="AZ224" s="327"/>
      <c r="BA224" s="327"/>
      <c r="BB224" s="327"/>
      <c r="BC224" s="327"/>
      <c r="BD224" s="327"/>
      <c r="BE224" s="327"/>
      <c r="BF224" s="327"/>
      <c r="BG224" s="327"/>
      <c r="BH224" s="327"/>
      <c r="BI224" s="327"/>
      <c r="BJ224" s="327"/>
      <c r="BK224" s="328"/>
      <c r="BL224" s="5"/>
      <c r="BM224" s="1"/>
      <c r="BN224" s="1"/>
      <c r="BO224" s="1"/>
      <c r="BP224" s="1"/>
      <c r="BQ224" s="1"/>
      <c r="BR224" s="1"/>
      <c r="BS224" s="1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</row>
    <row r="225" spans="1:125" ht="7.5" customHeight="1" x14ac:dyDescent="0.25">
      <c r="A225" s="6"/>
      <c r="B225" s="6"/>
      <c r="C225" s="1"/>
      <c r="D225" s="1"/>
      <c r="E225" s="1"/>
      <c r="F225" s="5"/>
      <c r="G225" s="261"/>
      <c r="H225" s="262"/>
      <c r="I225" s="262"/>
      <c r="J225" s="262"/>
      <c r="K225" s="262"/>
      <c r="L225" s="262"/>
      <c r="M225" s="263"/>
      <c r="N225" s="6"/>
      <c r="O225" s="1"/>
      <c r="P225" s="61"/>
      <c r="Q225" s="100"/>
      <c r="R225" s="100"/>
      <c r="S225" s="100"/>
      <c r="T225" s="17"/>
      <c r="U225" s="1"/>
      <c r="V225" s="1"/>
      <c r="W225" s="1"/>
      <c r="X225" s="62"/>
      <c r="Y225" s="109"/>
      <c r="Z225" s="109"/>
      <c r="AA225" s="109"/>
      <c r="AB225" s="57"/>
      <c r="AC225" s="1"/>
      <c r="AD225" s="1"/>
      <c r="AE225" s="1"/>
      <c r="AF225" s="1"/>
      <c r="AG225" s="1"/>
      <c r="AH225" s="5"/>
      <c r="AI225" s="159"/>
      <c r="AJ225" s="121"/>
      <c r="AK225" s="121"/>
      <c r="AL225" s="121"/>
      <c r="AM225" s="121"/>
      <c r="AN225" s="121"/>
      <c r="AO225" s="327"/>
      <c r="AP225" s="327"/>
      <c r="AQ225" s="327"/>
      <c r="AR225" s="327"/>
      <c r="AS225" s="327"/>
      <c r="AT225" s="327"/>
      <c r="AU225" s="327"/>
      <c r="AV225" s="327"/>
      <c r="AW225" s="327"/>
      <c r="AX225" s="327"/>
      <c r="AY225" s="327"/>
      <c r="AZ225" s="327"/>
      <c r="BA225" s="327"/>
      <c r="BB225" s="327"/>
      <c r="BC225" s="327"/>
      <c r="BD225" s="327"/>
      <c r="BE225" s="327"/>
      <c r="BF225" s="327"/>
      <c r="BG225" s="327"/>
      <c r="BH225" s="327"/>
      <c r="BI225" s="327"/>
      <c r="BJ225" s="327"/>
      <c r="BK225" s="328"/>
      <c r="BL225" s="5"/>
      <c r="BM225" s="1"/>
      <c r="BN225" s="1"/>
      <c r="BO225" s="1"/>
      <c r="BP225" s="1"/>
      <c r="BQ225" s="1"/>
      <c r="BR225" s="1"/>
      <c r="BS225" s="1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</row>
    <row r="226" spans="1:125" ht="7.5" customHeight="1" x14ac:dyDescent="0.25">
      <c r="A226" s="6"/>
      <c r="B226" s="6"/>
      <c r="C226" s="1"/>
      <c r="D226" s="1"/>
      <c r="E226" s="1"/>
      <c r="F226" s="5"/>
      <c r="G226" s="261"/>
      <c r="H226" s="262"/>
      <c r="I226" s="262"/>
      <c r="J226" s="262"/>
      <c r="K226" s="262"/>
      <c r="L226" s="262"/>
      <c r="M226" s="263"/>
      <c r="N226" s="6"/>
      <c r="O226" s="1"/>
      <c r="P226" s="1"/>
      <c r="Q226" s="100"/>
      <c r="R226" s="100"/>
      <c r="S226" s="100"/>
      <c r="T226" s="17"/>
      <c r="U226" s="1"/>
      <c r="V226" s="1"/>
      <c r="W226" s="1"/>
      <c r="X226" s="1"/>
      <c r="Y226" s="109"/>
      <c r="Z226" s="109"/>
      <c r="AA226" s="109"/>
      <c r="AB226" s="57"/>
      <c r="AC226" s="1"/>
      <c r="AD226" s="1"/>
      <c r="AE226" s="1"/>
      <c r="AF226" s="1"/>
      <c r="AG226" s="1"/>
      <c r="AH226" s="5"/>
      <c r="AI226" s="159"/>
      <c r="AJ226" s="121"/>
      <c r="AK226" s="121"/>
      <c r="AL226" s="121"/>
      <c r="AM226" s="121"/>
      <c r="AN226" s="121"/>
      <c r="AO226" s="327"/>
      <c r="AP226" s="327"/>
      <c r="AQ226" s="327"/>
      <c r="AR226" s="327"/>
      <c r="AS226" s="327"/>
      <c r="AT226" s="327"/>
      <c r="AU226" s="327"/>
      <c r="AV226" s="327"/>
      <c r="AW226" s="327"/>
      <c r="AX226" s="327"/>
      <c r="AY226" s="327"/>
      <c r="AZ226" s="327"/>
      <c r="BA226" s="327"/>
      <c r="BB226" s="327"/>
      <c r="BC226" s="327"/>
      <c r="BD226" s="327"/>
      <c r="BE226" s="327"/>
      <c r="BF226" s="327"/>
      <c r="BG226" s="327"/>
      <c r="BH226" s="327"/>
      <c r="BI226" s="327"/>
      <c r="BJ226" s="327"/>
      <c r="BK226" s="328"/>
      <c r="BL226" s="5"/>
      <c r="BM226" s="1"/>
      <c r="BN226" s="1"/>
      <c r="BO226" s="1"/>
      <c r="BP226" s="1"/>
      <c r="BQ226" s="1"/>
      <c r="BR226" s="1"/>
      <c r="BS226" s="1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</row>
    <row r="227" spans="1:125" ht="7.5" customHeight="1" x14ac:dyDescent="0.25">
      <c r="A227" s="6"/>
      <c r="B227" s="58"/>
      <c r="C227" s="25"/>
      <c r="D227" s="25"/>
      <c r="E227" s="25"/>
      <c r="F227" s="59"/>
      <c r="G227" s="264"/>
      <c r="H227" s="265"/>
      <c r="I227" s="265"/>
      <c r="J227" s="265"/>
      <c r="K227" s="265"/>
      <c r="L227" s="265"/>
      <c r="M227" s="266"/>
      <c r="N227" s="58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59"/>
      <c r="AI227" s="161"/>
      <c r="AJ227" s="124"/>
      <c r="AK227" s="124"/>
      <c r="AL227" s="124"/>
      <c r="AM227" s="124"/>
      <c r="AN227" s="124"/>
      <c r="AO227" s="330"/>
      <c r="AP227" s="330"/>
      <c r="AQ227" s="330"/>
      <c r="AR227" s="330"/>
      <c r="AS227" s="330"/>
      <c r="AT227" s="330"/>
      <c r="AU227" s="330"/>
      <c r="AV227" s="330"/>
      <c r="AW227" s="330"/>
      <c r="AX227" s="330"/>
      <c r="AY227" s="330"/>
      <c r="AZ227" s="330"/>
      <c r="BA227" s="330"/>
      <c r="BB227" s="330"/>
      <c r="BC227" s="330"/>
      <c r="BD227" s="330"/>
      <c r="BE227" s="330"/>
      <c r="BF227" s="330"/>
      <c r="BG227" s="330"/>
      <c r="BH227" s="330"/>
      <c r="BI227" s="330"/>
      <c r="BJ227" s="330"/>
      <c r="BK227" s="331"/>
      <c r="BL227" s="5"/>
      <c r="BM227" s="1"/>
      <c r="BN227" s="1"/>
      <c r="BO227" s="1"/>
      <c r="BP227" s="1"/>
      <c r="BQ227" s="1"/>
      <c r="BR227" s="1"/>
      <c r="BS227" s="1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</row>
    <row r="228" spans="1:125" ht="7.5" customHeight="1" x14ac:dyDescent="0.25">
      <c r="A228" s="6"/>
      <c r="B228" s="219" t="s">
        <v>1295</v>
      </c>
      <c r="C228" s="220"/>
      <c r="D228" s="220"/>
      <c r="E228" s="220"/>
      <c r="F228" s="221"/>
      <c r="G228" s="157" t="str">
        <f>IF(BM229="LEVELP1","X"," ")</f>
        <v xml:space="preserve"> </v>
      </c>
      <c r="H228" s="118"/>
      <c r="I228" s="118"/>
      <c r="J228" s="118"/>
      <c r="K228" s="118"/>
      <c r="L228" s="118"/>
      <c r="M228" s="119"/>
      <c r="N228" s="359" t="s">
        <v>1296</v>
      </c>
      <c r="O228" s="360"/>
      <c r="P228" s="360"/>
      <c r="Q228" s="360"/>
      <c r="R228" s="360"/>
      <c r="S228" s="198" t="s">
        <v>1367</v>
      </c>
      <c r="T228" s="426"/>
      <c r="U228" s="426"/>
      <c r="V228" s="426"/>
      <c r="W228" s="426"/>
      <c r="X228" s="426"/>
      <c r="Y228" s="426"/>
      <c r="Z228" s="426"/>
      <c r="AA228" s="426"/>
      <c r="AB228" s="426"/>
      <c r="AC228" s="426"/>
      <c r="AD228" s="426"/>
      <c r="AE228" s="426"/>
      <c r="AF228" s="426"/>
      <c r="AG228" s="426"/>
      <c r="AH228" s="427"/>
      <c r="AI228" s="323" t="s">
        <v>1362</v>
      </c>
      <c r="AJ228" s="324"/>
      <c r="AK228" s="324"/>
      <c r="AL228" s="324"/>
      <c r="AM228" s="324"/>
      <c r="AN228" s="324"/>
      <c r="AO228" s="324"/>
      <c r="AP228" s="324"/>
      <c r="AQ228" s="324"/>
      <c r="AR228" s="324"/>
      <c r="AS228" s="324"/>
      <c r="AT228" s="324"/>
      <c r="AU228" s="324"/>
      <c r="AV228" s="324"/>
      <c r="AW228" s="324"/>
      <c r="AX228" s="324"/>
      <c r="AY228" s="324"/>
      <c r="AZ228" s="324"/>
      <c r="BA228" s="324"/>
      <c r="BB228" s="324"/>
      <c r="BC228" s="324"/>
      <c r="BD228" s="324"/>
      <c r="BE228" s="324"/>
      <c r="BF228" s="324"/>
      <c r="BG228" s="324"/>
      <c r="BH228" s="324"/>
      <c r="BI228" s="324"/>
      <c r="BJ228" s="324"/>
      <c r="BK228" s="325"/>
      <c r="BL228" s="5"/>
      <c r="BM228" s="1"/>
      <c r="BN228" s="1"/>
      <c r="BO228" s="1"/>
      <c r="BP228" s="1"/>
      <c r="BQ228" s="1"/>
      <c r="BR228" s="1"/>
      <c r="BS228" s="1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</row>
    <row r="229" spans="1:125" ht="7.5" customHeight="1" x14ac:dyDescent="0.25">
      <c r="A229" s="6"/>
      <c r="B229" s="99"/>
      <c r="C229" s="100"/>
      <c r="D229" s="100"/>
      <c r="E229" s="100"/>
      <c r="F229" s="101"/>
      <c r="G229" s="159"/>
      <c r="H229" s="121"/>
      <c r="I229" s="121"/>
      <c r="J229" s="121"/>
      <c r="K229" s="121"/>
      <c r="L229" s="121"/>
      <c r="M229" s="122"/>
      <c r="N229" s="354"/>
      <c r="O229" s="355"/>
      <c r="P229" s="355"/>
      <c r="Q229" s="355"/>
      <c r="R229" s="355"/>
      <c r="S229" s="321"/>
      <c r="T229" s="321"/>
      <c r="U229" s="321"/>
      <c r="V229" s="321"/>
      <c r="W229" s="321"/>
      <c r="X229" s="321"/>
      <c r="Y229" s="321"/>
      <c r="Z229" s="321"/>
      <c r="AA229" s="321"/>
      <c r="AB229" s="321"/>
      <c r="AC229" s="321"/>
      <c r="AD229" s="321"/>
      <c r="AE229" s="321"/>
      <c r="AF229" s="321"/>
      <c r="AG229" s="321"/>
      <c r="AH229" s="429"/>
      <c r="AI229" s="326"/>
      <c r="AJ229" s="327"/>
      <c r="AK229" s="327"/>
      <c r="AL229" s="327"/>
      <c r="AM229" s="327"/>
      <c r="AN229" s="327"/>
      <c r="AO229" s="327"/>
      <c r="AP229" s="327"/>
      <c r="AQ229" s="327"/>
      <c r="AR229" s="327"/>
      <c r="AS229" s="327"/>
      <c r="AT229" s="327"/>
      <c r="AU229" s="327"/>
      <c r="AV229" s="327"/>
      <c r="AW229" s="327"/>
      <c r="AX229" s="327"/>
      <c r="AY229" s="327"/>
      <c r="AZ229" s="327"/>
      <c r="BA229" s="327"/>
      <c r="BB229" s="327"/>
      <c r="BC229" s="327"/>
      <c r="BD229" s="327"/>
      <c r="BE229" s="327"/>
      <c r="BF229" s="327"/>
      <c r="BG229" s="327"/>
      <c r="BH229" s="327"/>
      <c r="BI229" s="327"/>
      <c r="BJ229" s="327"/>
      <c r="BK229" s="328"/>
      <c r="BL229" s="5"/>
      <c r="BM229" s="63" t="s">
        <v>1297</v>
      </c>
      <c r="BN229" s="1"/>
      <c r="BO229" s="1"/>
      <c r="BP229" s="1"/>
      <c r="BQ229" s="1"/>
      <c r="BR229" s="1"/>
      <c r="BS229" s="1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</row>
    <row r="230" spans="1:125" ht="7.5" customHeight="1" x14ac:dyDescent="0.25">
      <c r="A230" s="6"/>
      <c r="B230" s="102"/>
      <c r="C230" s="103"/>
      <c r="D230" s="103"/>
      <c r="E230" s="103"/>
      <c r="F230" s="104"/>
      <c r="G230" s="161"/>
      <c r="H230" s="124"/>
      <c r="I230" s="124"/>
      <c r="J230" s="124"/>
      <c r="K230" s="124"/>
      <c r="L230" s="124"/>
      <c r="M230" s="125"/>
      <c r="N230" s="354"/>
      <c r="O230" s="355"/>
      <c r="P230" s="355"/>
      <c r="Q230" s="355"/>
      <c r="R230" s="355"/>
      <c r="S230" s="321"/>
      <c r="T230" s="321"/>
      <c r="U230" s="321"/>
      <c r="V230" s="321"/>
      <c r="W230" s="321"/>
      <c r="X230" s="321"/>
      <c r="Y230" s="321"/>
      <c r="Z230" s="321"/>
      <c r="AA230" s="321"/>
      <c r="AB230" s="321"/>
      <c r="AC230" s="321"/>
      <c r="AD230" s="321"/>
      <c r="AE230" s="321"/>
      <c r="AF230" s="321"/>
      <c r="AG230" s="321"/>
      <c r="AH230" s="429"/>
      <c r="AI230" s="326"/>
      <c r="AJ230" s="327"/>
      <c r="AK230" s="327"/>
      <c r="AL230" s="327"/>
      <c r="AM230" s="327"/>
      <c r="AN230" s="327"/>
      <c r="AO230" s="327"/>
      <c r="AP230" s="327"/>
      <c r="AQ230" s="327"/>
      <c r="AR230" s="327"/>
      <c r="AS230" s="327"/>
      <c r="AT230" s="327"/>
      <c r="AU230" s="327"/>
      <c r="AV230" s="327"/>
      <c r="AW230" s="327"/>
      <c r="AX230" s="327"/>
      <c r="AY230" s="327"/>
      <c r="AZ230" s="327"/>
      <c r="BA230" s="327"/>
      <c r="BB230" s="327"/>
      <c r="BC230" s="327"/>
      <c r="BD230" s="327"/>
      <c r="BE230" s="327"/>
      <c r="BF230" s="327"/>
      <c r="BG230" s="327"/>
      <c r="BH230" s="327"/>
      <c r="BI230" s="327"/>
      <c r="BJ230" s="327"/>
      <c r="BK230" s="328"/>
      <c r="BL230" s="5"/>
      <c r="BM230" s="63" t="s">
        <v>1297</v>
      </c>
      <c r="BN230" s="1"/>
      <c r="BO230" s="1"/>
      <c r="BP230" s="1"/>
      <c r="BQ230" s="1"/>
      <c r="BR230" s="1"/>
      <c r="BS230" s="1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</row>
    <row r="231" spans="1:125" ht="7.5" customHeight="1" x14ac:dyDescent="0.25">
      <c r="A231" s="6"/>
      <c r="B231" s="219" t="s">
        <v>1298</v>
      </c>
      <c r="C231" s="220"/>
      <c r="D231" s="220"/>
      <c r="E231" s="220"/>
      <c r="F231" s="221"/>
      <c r="G231" s="472" t="str">
        <f>IF(BM232="LEVELP2","X"," ")</f>
        <v>X</v>
      </c>
      <c r="H231" s="473"/>
      <c r="I231" s="473"/>
      <c r="J231" s="473"/>
      <c r="K231" s="473"/>
      <c r="L231" s="473"/>
      <c r="M231" s="474"/>
      <c r="N231" s="354" t="s">
        <v>1299</v>
      </c>
      <c r="O231" s="355"/>
      <c r="P231" s="355"/>
      <c r="Q231" s="355"/>
      <c r="R231" s="355"/>
      <c r="S231" s="408">
        <v>44173</v>
      </c>
      <c r="T231" s="327"/>
      <c r="U231" s="327"/>
      <c r="V231" s="327"/>
      <c r="W231" s="327"/>
      <c r="X231" s="327"/>
      <c r="Y231" s="327"/>
      <c r="Z231" s="327"/>
      <c r="AA231" s="327"/>
      <c r="AB231" s="327"/>
      <c r="AC231" s="327"/>
      <c r="AD231" s="327"/>
      <c r="AE231" s="327"/>
      <c r="AF231" s="327"/>
      <c r="AG231" s="327"/>
      <c r="AH231" s="328"/>
      <c r="AI231" s="326"/>
      <c r="AJ231" s="327"/>
      <c r="AK231" s="327"/>
      <c r="AL231" s="327"/>
      <c r="AM231" s="327"/>
      <c r="AN231" s="327"/>
      <c r="AO231" s="327"/>
      <c r="AP231" s="327"/>
      <c r="AQ231" s="327"/>
      <c r="AR231" s="327"/>
      <c r="AS231" s="327"/>
      <c r="AT231" s="327"/>
      <c r="AU231" s="327"/>
      <c r="AV231" s="327"/>
      <c r="AW231" s="327"/>
      <c r="AX231" s="327"/>
      <c r="AY231" s="327"/>
      <c r="AZ231" s="327"/>
      <c r="BA231" s="327"/>
      <c r="BB231" s="327"/>
      <c r="BC231" s="327"/>
      <c r="BD231" s="327"/>
      <c r="BE231" s="327"/>
      <c r="BF231" s="327"/>
      <c r="BG231" s="327"/>
      <c r="BH231" s="327"/>
      <c r="BI231" s="327"/>
      <c r="BJ231" s="327"/>
      <c r="BK231" s="328"/>
      <c r="BL231" s="5"/>
      <c r="BM231" s="1"/>
      <c r="BN231" s="1"/>
      <c r="BO231" s="1"/>
      <c r="BP231" s="1"/>
      <c r="BQ231" s="1"/>
      <c r="BR231" s="1"/>
      <c r="BS231" s="1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</row>
    <row r="232" spans="1:125" ht="7.5" customHeight="1" x14ac:dyDescent="0.25">
      <c r="A232" s="6"/>
      <c r="B232" s="99"/>
      <c r="C232" s="100"/>
      <c r="D232" s="100"/>
      <c r="E232" s="100"/>
      <c r="F232" s="101"/>
      <c r="G232" s="475"/>
      <c r="H232" s="476"/>
      <c r="I232" s="476"/>
      <c r="J232" s="476"/>
      <c r="K232" s="476"/>
      <c r="L232" s="476"/>
      <c r="M232" s="477"/>
      <c r="N232" s="354"/>
      <c r="O232" s="355"/>
      <c r="P232" s="355"/>
      <c r="Q232" s="355"/>
      <c r="R232" s="355"/>
      <c r="S232" s="327"/>
      <c r="T232" s="327"/>
      <c r="U232" s="327"/>
      <c r="V232" s="327"/>
      <c r="W232" s="327"/>
      <c r="X232" s="327"/>
      <c r="Y232" s="327"/>
      <c r="Z232" s="327"/>
      <c r="AA232" s="327"/>
      <c r="AB232" s="327"/>
      <c r="AC232" s="327"/>
      <c r="AD232" s="327"/>
      <c r="AE232" s="327"/>
      <c r="AF232" s="327"/>
      <c r="AG232" s="327"/>
      <c r="AH232" s="328"/>
      <c r="AI232" s="326"/>
      <c r="AJ232" s="327"/>
      <c r="AK232" s="327"/>
      <c r="AL232" s="327"/>
      <c r="AM232" s="327"/>
      <c r="AN232" s="327"/>
      <c r="AO232" s="327"/>
      <c r="AP232" s="327"/>
      <c r="AQ232" s="327"/>
      <c r="AR232" s="327"/>
      <c r="AS232" s="327"/>
      <c r="AT232" s="327"/>
      <c r="AU232" s="327"/>
      <c r="AV232" s="327"/>
      <c r="AW232" s="327"/>
      <c r="AX232" s="327"/>
      <c r="AY232" s="327"/>
      <c r="AZ232" s="327"/>
      <c r="BA232" s="327"/>
      <c r="BB232" s="327"/>
      <c r="BC232" s="327"/>
      <c r="BD232" s="327"/>
      <c r="BE232" s="327"/>
      <c r="BF232" s="327"/>
      <c r="BG232" s="327"/>
      <c r="BH232" s="327"/>
      <c r="BI232" s="327"/>
      <c r="BJ232" s="327"/>
      <c r="BK232" s="328"/>
      <c r="BL232" s="5"/>
      <c r="BM232" s="63" t="s">
        <v>1297</v>
      </c>
      <c r="BN232" s="1"/>
      <c r="BO232" s="1"/>
      <c r="BP232" s="1"/>
      <c r="BQ232" s="1"/>
      <c r="BR232" s="1"/>
      <c r="BS232" s="1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</row>
    <row r="233" spans="1:125" ht="7.5" customHeight="1" x14ac:dyDescent="0.25">
      <c r="A233" s="6"/>
      <c r="B233" s="102"/>
      <c r="C233" s="103"/>
      <c r="D233" s="103"/>
      <c r="E233" s="103"/>
      <c r="F233" s="104"/>
      <c r="G233" s="478"/>
      <c r="H233" s="479"/>
      <c r="I233" s="479"/>
      <c r="J233" s="479"/>
      <c r="K233" s="479"/>
      <c r="L233" s="479"/>
      <c r="M233" s="480"/>
      <c r="N233" s="354"/>
      <c r="O233" s="355"/>
      <c r="P233" s="355"/>
      <c r="Q233" s="355"/>
      <c r="R233" s="355"/>
      <c r="S233" s="327"/>
      <c r="T233" s="327"/>
      <c r="U233" s="327"/>
      <c r="V233" s="327"/>
      <c r="W233" s="327"/>
      <c r="X233" s="327"/>
      <c r="Y233" s="327"/>
      <c r="Z233" s="327"/>
      <c r="AA233" s="327"/>
      <c r="AB233" s="327"/>
      <c r="AC233" s="327"/>
      <c r="AD233" s="327"/>
      <c r="AE233" s="327"/>
      <c r="AF233" s="327"/>
      <c r="AG233" s="327"/>
      <c r="AH233" s="328"/>
      <c r="AI233" s="326"/>
      <c r="AJ233" s="327"/>
      <c r="AK233" s="327"/>
      <c r="AL233" s="327"/>
      <c r="AM233" s="327"/>
      <c r="AN233" s="327"/>
      <c r="AO233" s="327"/>
      <c r="AP233" s="327"/>
      <c r="AQ233" s="327"/>
      <c r="AR233" s="327"/>
      <c r="AS233" s="327"/>
      <c r="AT233" s="327"/>
      <c r="AU233" s="327"/>
      <c r="AV233" s="327"/>
      <c r="AW233" s="327"/>
      <c r="AX233" s="327"/>
      <c r="AY233" s="327"/>
      <c r="AZ233" s="327"/>
      <c r="BA233" s="327"/>
      <c r="BB233" s="327"/>
      <c r="BC233" s="327"/>
      <c r="BD233" s="327"/>
      <c r="BE233" s="327"/>
      <c r="BF233" s="327"/>
      <c r="BG233" s="327"/>
      <c r="BH233" s="327"/>
      <c r="BI233" s="327"/>
      <c r="BJ233" s="327"/>
      <c r="BK233" s="328"/>
      <c r="BL233" s="5"/>
      <c r="BM233" s="63" t="s">
        <v>1297</v>
      </c>
      <c r="BN233" s="1"/>
      <c r="BO233" s="1"/>
      <c r="BP233" s="1"/>
      <c r="BQ233" s="1"/>
      <c r="BR233" s="1"/>
      <c r="BS233" s="1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</row>
    <row r="234" spans="1:125" ht="7.5" customHeight="1" x14ac:dyDescent="0.25">
      <c r="A234" s="6"/>
      <c r="B234" s="219" t="s">
        <v>1300</v>
      </c>
      <c r="C234" s="220"/>
      <c r="D234" s="220"/>
      <c r="E234" s="220"/>
      <c r="F234" s="221"/>
      <c r="G234" s="332" t="str">
        <f>IF(BM235="LEVELP3","X"," ")</f>
        <v xml:space="preserve"> </v>
      </c>
      <c r="H234" s="275"/>
      <c r="I234" s="275"/>
      <c r="J234" s="275"/>
      <c r="K234" s="275"/>
      <c r="L234" s="275"/>
      <c r="M234" s="333"/>
      <c r="N234" s="354" t="s">
        <v>1301</v>
      </c>
      <c r="O234" s="355"/>
      <c r="P234" s="355"/>
      <c r="Q234" s="355"/>
      <c r="R234" s="355"/>
      <c r="S234" s="355"/>
      <c r="T234" s="355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3"/>
      <c r="AG234" s="273"/>
      <c r="AH234" s="335"/>
      <c r="AI234" s="326"/>
      <c r="AJ234" s="327"/>
      <c r="AK234" s="327"/>
      <c r="AL234" s="327"/>
      <c r="AM234" s="327"/>
      <c r="AN234" s="327"/>
      <c r="AO234" s="327"/>
      <c r="AP234" s="327"/>
      <c r="AQ234" s="327"/>
      <c r="AR234" s="327"/>
      <c r="AS234" s="327"/>
      <c r="AT234" s="327"/>
      <c r="AU234" s="327"/>
      <c r="AV234" s="327"/>
      <c r="AW234" s="327"/>
      <c r="AX234" s="327"/>
      <c r="AY234" s="327"/>
      <c r="AZ234" s="327"/>
      <c r="BA234" s="327"/>
      <c r="BB234" s="327"/>
      <c r="BC234" s="327"/>
      <c r="BD234" s="327"/>
      <c r="BE234" s="327"/>
      <c r="BF234" s="327"/>
      <c r="BG234" s="327"/>
      <c r="BH234" s="327"/>
      <c r="BI234" s="327"/>
      <c r="BJ234" s="327"/>
      <c r="BK234" s="328"/>
      <c r="BL234" s="5"/>
      <c r="BM234" s="1"/>
      <c r="BN234" s="1"/>
      <c r="BO234" s="1"/>
      <c r="BP234" s="1"/>
      <c r="BQ234" s="1"/>
      <c r="BR234" s="1"/>
      <c r="BS234" s="1"/>
    </row>
    <row r="235" spans="1:125" ht="7.5" customHeight="1" x14ac:dyDescent="0.25">
      <c r="A235" s="6"/>
      <c r="B235" s="99"/>
      <c r="C235" s="100"/>
      <c r="D235" s="100"/>
      <c r="E235" s="100"/>
      <c r="F235" s="101"/>
      <c r="G235" s="334"/>
      <c r="H235" s="273"/>
      <c r="I235" s="273"/>
      <c r="J235" s="273"/>
      <c r="K235" s="273"/>
      <c r="L235" s="273"/>
      <c r="M235" s="335"/>
      <c r="N235" s="354"/>
      <c r="O235" s="355"/>
      <c r="P235" s="355"/>
      <c r="Q235" s="355"/>
      <c r="R235" s="355"/>
      <c r="S235" s="355"/>
      <c r="T235" s="355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3"/>
      <c r="AG235" s="273"/>
      <c r="AH235" s="335"/>
      <c r="AI235" s="326"/>
      <c r="AJ235" s="327"/>
      <c r="AK235" s="327"/>
      <c r="AL235" s="327"/>
      <c r="AM235" s="327"/>
      <c r="AN235" s="327"/>
      <c r="AO235" s="327"/>
      <c r="AP235" s="327"/>
      <c r="AQ235" s="327"/>
      <c r="AR235" s="327"/>
      <c r="AS235" s="327"/>
      <c r="AT235" s="327"/>
      <c r="AU235" s="327"/>
      <c r="AV235" s="327"/>
      <c r="AW235" s="327"/>
      <c r="AX235" s="327"/>
      <c r="AY235" s="327"/>
      <c r="AZ235" s="327"/>
      <c r="BA235" s="327"/>
      <c r="BB235" s="327"/>
      <c r="BC235" s="327"/>
      <c r="BD235" s="327"/>
      <c r="BE235" s="327"/>
      <c r="BF235" s="327"/>
      <c r="BG235" s="327"/>
      <c r="BH235" s="327"/>
      <c r="BI235" s="327"/>
      <c r="BJ235" s="327"/>
      <c r="BK235" s="328"/>
      <c r="BL235" s="5"/>
      <c r="BM235" s="63" t="s">
        <v>1297</v>
      </c>
      <c r="BN235" s="1"/>
      <c r="BO235" s="1"/>
      <c r="BP235" s="1"/>
      <c r="BQ235" s="1"/>
      <c r="BR235" s="1"/>
      <c r="BS235" s="1"/>
    </row>
    <row r="236" spans="1:125" ht="7.5" customHeight="1" x14ac:dyDescent="0.25">
      <c r="A236" s="6"/>
      <c r="B236" s="102"/>
      <c r="C236" s="103"/>
      <c r="D236" s="103"/>
      <c r="E236" s="103"/>
      <c r="F236" s="104"/>
      <c r="G236" s="336"/>
      <c r="H236" s="274"/>
      <c r="I236" s="274"/>
      <c r="J236" s="274"/>
      <c r="K236" s="274"/>
      <c r="L236" s="274"/>
      <c r="M236" s="337"/>
      <c r="N236" s="356"/>
      <c r="O236" s="357"/>
      <c r="P236" s="357"/>
      <c r="Q236" s="357"/>
      <c r="R236" s="357"/>
      <c r="S236" s="357"/>
      <c r="T236" s="357"/>
      <c r="U236" s="274"/>
      <c r="V236" s="274"/>
      <c r="W236" s="274"/>
      <c r="X236" s="274"/>
      <c r="Y236" s="274"/>
      <c r="Z236" s="274"/>
      <c r="AA236" s="274"/>
      <c r="AB236" s="274"/>
      <c r="AC236" s="274"/>
      <c r="AD236" s="274"/>
      <c r="AE236" s="274"/>
      <c r="AF236" s="274"/>
      <c r="AG236" s="274"/>
      <c r="AH236" s="337"/>
      <c r="AI236" s="329"/>
      <c r="AJ236" s="330"/>
      <c r="AK236" s="330"/>
      <c r="AL236" s="330"/>
      <c r="AM236" s="330"/>
      <c r="AN236" s="330"/>
      <c r="AO236" s="330"/>
      <c r="AP236" s="330"/>
      <c r="AQ236" s="330"/>
      <c r="AR236" s="330"/>
      <c r="AS236" s="330"/>
      <c r="AT236" s="330"/>
      <c r="AU236" s="330"/>
      <c r="AV236" s="330"/>
      <c r="AW236" s="330"/>
      <c r="AX236" s="330"/>
      <c r="AY236" s="330"/>
      <c r="AZ236" s="330"/>
      <c r="BA236" s="330"/>
      <c r="BB236" s="330"/>
      <c r="BC236" s="330"/>
      <c r="BD236" s="330"/>
      <c r="BE236" s="330"/>
      <c r="BF236" s="330"/>
      <c r="BG236" s="330"/>
      <c r="BH236" s="330"/>
      <c r="BI236" s="330"/>
      <c r="BJ236" s="330"/>
      <c r="BK236" s="331"/>
      <c r="BL236" s="5"/>
      <c r="BM236" s="63" t="s">
        <v>1297</v>
      </c>
      <c r="BN236" s="1"/>
      <c r="BO236" s="1"/>
      <c r="BP236" s="1"/>
      <c r="BQ236" s="1"/>
      <c r="BR236" s="1"/>
      <c r="BS236" s="1"/>
    </row>
    <row r="237" spans="1:125" ht="7.5" customHeight="1" x14ac:dyDescent="0.25">
      <c r="A237" s="6"/>
      <c r="B237" s="219" t="s">
        <v>1302</v>
      </c>
      <c r="C237" s="220"/>
      <c r="D237" s="220"/>
      <c r="E237" s="220"/>
      <c r="F237" s="220"/>
      <c r="G237" s="220"/>
      <c r="H237" s="220"/>
      <c r="I237" s="220"/>
      <c r="J237" s="220"/>
      <c r="K237" s="220"/>
      <c r="L237" s="220"/>
      <c r="M237" s="220"/>
      <c r="N237" s="220"/>
      <c r="O237" s="220"/>
      <c r="P237" s="220"/>
      <c r="Q237" s="220"/>
      <c r="R237" s="220"/>
      <c r="S237" s="220"/>
      <c r="T237" s="220"/>
      <c r="U237" s="220"/>
      <c r="V237" s="220"/>
      <c r="W237" s="220"/>
      <c r="X237" s="220"/>
      <c r="Y237" s="220"/>
      <c r="Z237" s="220"/>
      <c r="AA237" s="220"/>
      <c r="AB237" s="220"/>
      <c r="AC237" s="220"/>
      <c r="AD237" s="220"/>
      <c r="AE237" s="220"/>
      <c r="AF237" s="220"/>
      <c r="AG237" s="220"/>
      <c r="AH237" s="220"/>
      <c r="AI237" s="220"/>
      <c r="AJ237" s="220"/>
      <c r="AK237" s="220"/>
      <c r="AL237" s="220"/>
      <c r="AM237" s="220"/>
      <c r="AN237" s="220"/>
      <c r="AO237" s="220"/>
      <c r="AP237" s="220"/>
      <c r="AQ237" s="220"/>
      <c r="AR237" s="220"/>
      <c r="AS237" s="220"/>
      <c r="AT237" s="220"/>
      <c r="AU237" s="220"/>
      <c r="AV237" s="220"/>
      <c r="AW237" s="220"/>
      <c r="AX237" s="220"/>
      <c r="AY237" s="220"/>
      <c r="AZ237" s="220"/>
      <c r="BA237" s="220"/>
      <c r="BB237" s="220"/>
      <c r="BC237" s="220"/>
      <c r="BD237" s="220"/>
      <c r="BE237" s="220"/>
      <c r="BF237" s="220"/>
      <c r="BG237" s="220"/>
      <c r="BH237" s="220"/>
      <c r="BI237" s="220"/>
      <c r="BJ237" s="220"/>
      <c r="BK237" s="221"/>
      <c r="BL237" s="5"/>
      <c r="BM237" s="1"/>
      <c r="BN237" s="1"/>
      <c r="BO237" s="1"/>
      <c r="BP237" s="1"/>
      <c r="BQ237" s="1"/>
      <c r="BR237" s="1"/>
      <c r="BS237" s="1"/>
    </row>
    <row r="238" spans="1:125" ht="7.5" customHeight="1" x14ac:dyDescent="0.25">
      <c r="A238" s="6"/>
      <c r="B238" s="99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100"/>
      <c r="AE238" s="100"/>
      <c r="AF238" s="100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  <c r="BC238" s="100"/>
      <c r="BD238" s="100"/>
      <c r="BE238" s="100"/>
      <c r="BF238" s="100"/>
      <c r="BG238" s="100"/>
      <c r="BH238" s="100"/>
      <c r="BI238" s="100"/>
      <c r="BJ238" s="100"/>
      <c r="BK238" s="101"/>
      <c r="BL238" s="5"/>
      <c r="BM238" s="1"/>
      <c r="BN238" s="1"/>
      <c r="BO238" s="1"/>
      <c r="BP238" s="1"/>
      <c r="BQ238" s="1"/>
      <c r="BR238" s="1"/>
      <c r="BS238" s="1"/>
    </row>
    <row r="239" spans="1:125" ht="7.5" customHeight="1" x14ac:dyDescent="0.25">
      <c r="A239" s="6"/>
      <c r="B239" s="102"/>
      <c r="C239" s="103"/>
      <c r="D239" s="103"/>
      <c r="E239" s="103"/>
      <c r="F239" s="103"/>
      <c r="G239" s="103"/>
      <c r="H239" s="103"/>
      <c r="I239" s="103"/>
      <c r="J239" s="103"/>
      <c r="K239" s="103"/>
      <c r="L239" s="103"/>
      <c r="M239" s="103"/>
      <c r="N239" s="103"/>
      <c r="O239" s="103"/>
      <c r="P239" s="103"/>
      <c r="Q239" s="103"/>
      <c r="R239" s="103"/>
      <c r="S239" s="103"/>
      <c r="T239" s="103"/>
      <c r="U239" s="103"/>
      <c r="V239" s="103"/>
      <c r="W239" s="103"/>
      <c r="X239" s="103"/>
      <c r="Y239" s="103"/>
      <c r="Z239" s="103"/>
      <c r="AA239" s="103"/>
      <c r="AB239" s="103"/>
      <c r="AC239" s="103"/>
      <c r="AD239" s="103"/>
      <c r="AE239" s="103"/>
      <c r="AF239" s="103"/>
      <c r="AG239" s="103"/>
      <c r="AH239" s="103"/>
      <c r="AI239" s="103"/>
      <c r="AJ239" s="103"/>
      <c r="AK239" s="103"/>
      <c r="AL239" s="103"/>
      <c r="AM239" s="103"/>
      <c r="AN239" s="103"/>
      <c r="AO239" s="103"/>
      <c r="AP239" s="103"/>
      <c r="AQ239" s="103"/>
      <c r="AR239" s="103"/>
      <c r="AS239" s="103"/>
      <c r="AT239" s="103"/>
      <c r="AU239" s="103"/>
      <c r="AV239" s="103"/>
      <c r="AW239" s="103"/>
      <c r="AX239" s="103"/>
      <c r="AY239" s="103"/>
      <c r="AZ239" s="103"/>
      <c r="BA239" s="103"/>
      <c r="BB239" s="103"/>
      <c r="BC239" s="103"/>
      <c r="BD239" s="103"/>
      <c r="BE239" s="103"/>
      <c r="BF239" s="103"/>
      <c r="BG239" s="103"/>
      <c r="BH239" s="103"/>
      <c r="BI239" s="103"/>
      <c r="BJ239" s="103"/>
      <c r="BK239" s="104"/>
      <c r="BL239" s="5"/>
      <c r="BM239" s="1"/>
      <c r="BN239" s="1"/>
      <c r="BO239" s="1"/>
      <c r="BP239" s="1"/>
      <c r="BQ239" s="1"/>
      <c r="BR239" s="1"/>
      <c r="BS239" s="1"/>
    </row>
    <row r="240" spans="1:125" ht="7.5" customHeight="1" x14ac:dyDescent="0.25">
      <c r="A240" s="6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5"/>
      <c r="BM240" s="1"/>
      <c r="BN240" s="1"/>
      <c r="BO240" s="1"/>
      <c r="BP240" s="1"/>
      <c r="BQ240" s="1"/>
      <c r="BR240" s="1"/>
      <c r="BS240" s="1"/>
    </row>
    <row r="241" spans="1:71" ht="7.5" customHeight="1" x14ac:dyDescent="0.25">
      <c r="A241" s="6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5"/>
      <c r="BM241" s="1"/>
      <c r="BN241" s="1"/>
      <c r="BO241" s="1"/>
      <c r="BP241" s="1"/>
      <c r="BQ241" s="1"/>
      <c r="BR241" s="1"/>
      <c r="BS241" s="1"/>
    </row>
    <row r="242" spans="1:71" ht="7.5" customHeight="1" x14ac:dyDescent="0.25">
      <c r="A242" s="6"/>
      <c r="B242" s="245" t="s">
        <v>1303</v>
      </c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7"/>
      <c r="X242" s="219" t="s">
        <v>1304</v>
      </c>
      <c r="Y242" s="220"/>
      <c r="Z242" s="220"/>
      <c r="AA242" s="220"/>
      <c r="AB242" s="220"/>
      <c r="AC242" s="220"/>
      <c r="AD242" s="220"/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39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5"/>
      <c r="BM242" s="1"/>
      <c r="BN242" s="1"/>
      <c r="BO242" s="1"/>
      <c r="BP242" s="1"/>
      <c r="BQ242" s="1"/>
      <c r="BR242" s="1"/>
      <c r="BS242" s="1"/>
    </row>
    <row r="243" spans="1:71" ht="7.5" customHeight="1" x14ac:dyDescent="0.25">
      <c r="A243" s="6"/>
      <c r="B243" s="248"/>
      <c r="C243" s="249"/>
      <c r="D243" s="249"/>
      <c r="E243" s="249"/>
      <c r="F243" s="249"/>
      <c r="G243" s="249"/>
      <c r="H243" s="249"/>
      <c r="I243" s="249"/>
      <c r="J243" s="249"/>
      <c r="K243" s="249"/>
      <c r="L243" s="249"/>
      <c r="M243" s="249"/>
      <c r="N243" s="249"/>
      <c r="O243" s="249"/>
      <c r="P243" s="249"/>
      <c r="Q243" s="249"/>
      <c r="R243" s="249"/>
      <c r="S243" s="249"/>
      <c r="T243" s="249"/>
      <c r="U243" s="249"/>
      <c r="V243" s="249"/>
      <c r="W243" s="250"/>
      <c r="X243" s="99"/>
      <c r="Y243" s="100"/>
      <c r="Z243" s="100"/>
      <c r="AA243" s="100"/>
      <c r="AB243" s="100"/>
      <c r="AC243" s="100"/>
      <c r="AD243" s="100"/>
      <c r="AE243" s="1"/>
      <c r="AF243" s="332" t="s">
        <v>1280</v>
      </c>
      <c r="AG243" s="333"/>
      <c r="AH243" s="334" t="s">
        <v>1272</v>
      </c>
      <c r="AI243" s="273"/>
      <c r="AJ243" s="273"/>
      <c r="AK243" s="273"/>
      <c r="AL243" s="1"/>
      <c r="AM243" s="1"/>
      <c r="AN243" s="332"/>
      <c r="AO243" s="333"/>
      <c r="AP243" s="334" t="s">
        <v>1273</v>
      </c>
      <c r="AQ243" s="273"/>
      <c r="AR243" s="273"/>
      <c r="AS243" s="1"/>
      <c r="AT243" s="5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5"/>
      <c r="BM243" s="1"/>
      <c r="BN243" s="1"/>
      <c r="BO243" s="1"/>
      <c r="BP243" s="1"/>
      <c r="BQ243" s="1"/>
      <c r="BR243" s="1"/>
      <c r="BS243" s="1"/>
    </row>
    <row r="244" spans="1:71" ht="7.5" customHeight="1" x14ac:dyDescent="0.25">
      <c r="A244" s="6"/>
      <c r="B244" s="248"/>
      <c r="C244" s="249"/>
      <c r="D244" s="249"/>
      <c r="E244" s="249"/>
      <c r="F244" s="249"/>
      <c r="G244" s="249"/>
      <c r="H244" s="249"/>
      <c r="I244" s="249"/>
      <c r="J244" s="249"/>
      <c r="K244" s="249"/>
      <c r="L244" s="249"/>
      <c r="M244" s="249"/>
      <c r="N244" s="249"/>
      <c r="O244" s="249"/>
      <c r="P244" s="249"/>
      <c r="Q244" s="249"/>
      <c r="R244" s="249"/>
      <c r="S244" s="249"/>
      <c r="T244" s="249"/>
      <c r="U244" s="249"/>
      <c r="V244" s="249"/>
      <c r="W244" s="250"/>
      <c r="X244" s="99"/>
      <c r="Y244" s="100"/>
      <c r="Z244" s="100"/>
      <c r="AA244" s="100"/>
      <c r="AB244" s="100"/>
      <c r="AC244" s="100"/>
      <c r="AD244" s="100"/>
      <c r="AE244" s="1"/>
      <c r="AF244" s="336"/>
      <c r="AG244" s="337"/>
      <c r="AH244" s="334"/>
      <c r="AI244" s="273"/>
      <c r="AJ244" s="273"/>
      <c r="AK244" s="273"/>
      <c r="AL244" s="1"/>
      <c r="AM244" s="1"/>
      <c r="AN244" s="336"/>
      <c r="AO244" s="337"/>
      <c r="AP244" s="334"/>
      <c r="AQ244" s="273"/>
      <c r="AR244" s="273"/>
      <c r="AS244" s="1"/>
      <c r="AT244" s="5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5"/>
      <c r="BM244" s="1"/>
      <c r="BN244" s="1"/>
      <c r="BO244" s="1"/>
      <c r="BP244" s="1"/>
      <c r="BQ244" s="1"/>
      <c r="BR244" s="1"/>
      <c r="BS244" s="1"/>
    </row>
    <row r="245" spans="1:71" ht="7.5" customHeight="1" x14ac:dyDescent="0.25">
      <c r="A245" s="6"/>
      <c r="B245" s="284"/>
      <c r="C245" s="285"/>
      <c r="D245" s="285"/>
      <c r="E245" s="285"/>
      <c r="F245" s="285"/>
      <c r="G245" s="285"/>
      <c r="H245" s="285"/>
      <c r="I245" s="285"/>
      <c r="J245" s="285"/>
      <c r="K245" s="285"/>
      <c r="L245" s="285"/>
      <c r="M245" s="285"/>
      <c r="N245" s="285"/>
      <c r="O245" s="285"/>
      <c r="P245" s="285"/>
      <c r="Q245" s="285"/>
      <c r="R245" s="285"/>
      <c r="S245" s="285"/>
      <c r="T245" s="285"/>
      <c r="U245" s="285"/>
      <c r="V245" s="285"/>
      <c r="W245" s="286"/>
      <c r="X245" s="102"/>
      <c r="Y245" s="103"/>
      <c r="Z245" s="103"/>
      <c r="AA245" s="103"/>
      <c r="AB245" s="103"/>
      <c r="AC245" s="103"/>
      <c r="AD245" s="103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59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5"/>
      <c r="BM245" s="1"/>
      <c r="BN245" s="1"/>
      <c r="BO245" s="1"/>
      <c r="BP245" s="1"/>
      <c r="BQ245" s="1"/>
      <c r="BR245" s="1"/>
      <c r="BS245" s="1"/>
    </row>
    <row r="246" spans="1:71" ht="7.5" customHeight="1" x14ac:dyDescent="0.25">
      <c r="A246" s="6"/>
      <c r="B246" s="359" t="s">
        <v>1305</v>
      </c>
      <c r="C246" s="360"/>
      <c r="D246" s="360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360"/>
      <c r="Q246" s="360"/>
      <c r="R246" s="360"/>
      <c r="S246" s="360"/>
      <c r="T246" s="360"/>
      <c r="U246" s="360"/>
      <c r="V246" s="360"/>
      <c r="W246" s="360"/>
      <c r="X246" s="360"/>
      <c r="Y246" s="360"/>
      <c r="Z246" s="360"/>
      <c r="AA246" s="360"/>
      <c r="AB246" s="360"/>
      <c r="AC246" s="360"/>
      <c r="AD246" s="360"/>
      <c r="AE246" s="360"/>
      <c r="AF246" s="360"/>
      <c r="AG246" s="360"/>
      <c r="AH246" s="360"/>
      <c r="AI246" s="360"/>
      <c r="AJ246" s="360"/>
      <c r="AK246" s="360"/>
      <c r="AL246" s="360"/>
      <c r="AM246" s="360"/>
      <c r="AN246" s="360"/>
      <c r="AO246" s="360"/>
      <c r="AP246" s="360"/>
      <c r="AQ246" s="360"/>
      <c r="AR246" s="360"/>
      <c r="AS246" s="360"/>
      <c r="AT246" s="360"/>
      <c r="AU246" s="360"/>
      <c r="AV246" s="360"/>
      <c r="AW246" s="360"/>
      <c r="AX246" s="360"/>
      <c r="AY246" s="360"/>
      <c r="AZ246" s="360"/>
      <c r="BA246" s="360"/>
      <c r="BB246" s="360"/>
      <c r="BC246" s="360"/>
      <c r="BD246" s="360"/>
      <c r="BE246" s="360"/>
      <c r="BF246" s="360"/>
      <c r="BG246" s="360"/>
      <c r="BH246" s="360"/>
      <c r="BI246" s="360"/>
      <c r="BJ246" s="360"/>
      <c r="BK246" s="361"/>
      <c r="BL246" s="5"/>
      <c r="BM246" s="1"/>
      <c r="BN246" s="1"/>
      <c r="BO246" s="1"/>
      <c r="BP246" s="1"/>
      <c r="BQ246" s="1"/>
      <c r="BR246" s="1"/>
      <c r="BS246" s="1"/>
    </row>
    <row r="247" spans="1:71" ht="7.5" customHeight="1" x14ac:dyDescent="0.25">
      <c r="A247" s="6"/>
      <c r="B247" s="356"/>
      <c r="C247" s="357"/>
      <c r="D247" s="357"/>
      <c r="E247" s="357"/>
      <c r="F247" s="357"/>
      <c r="G247" s="357"/>
      <c r="H247" s="357"/>
      <c r="I247" s="357"/>
      <c r="J247" s="357"/>
      <c r="K247" s="357"/>
      <c r="L247" s="357"/>
      <c r="M247" s="357"/>
      <c r="N247" s="357"/>
      <c r="O247" s="357"/>
      <c r="P247" s="357"/>
      <c r="Q247" s="357"/>
      <c r="R247" s="357"/>
      <c r="S247" s="357"/>
      <c r="T247" s="357"/>
      <c r="U247" s="357"/>
      <c r="V247" s="357"/>
      <c r="W247" s="357"/>
      <c r="X247" s="357"/>
      <c r="Y247" s="357"/>
      <c r="Z247" s="357"/>
      <c r="AA247" s="357"/>
      <c r="AB247" s="357"/>
      <c r="AC247" s="357"/>
      <c r="AD247" s="357"/>
      <c r="AE247" s="357"/>
      <c r="AF247" s="357"/>
      <c r="AG247" s="357"/>
      <c r="AH247" s="357"/>
      <c r="AI247" s="357"/>
      <c r="AJ247" s="357"/>
      <c r="AK247" s="357"/>
      <c r="AL247" s="357"/>
      <c r="AM247" s="357"/>
      <c r="AN247" s="357"/>
      <c r="AO247" s="357"/>
      <c r="AP247" s="357"/>
      <c r="AQ247" s="357"/>
      <c r="AR247" s="357"/>
      <c r="AS247" s="357"/>
      <c r="AT247" s="357"/>
      <c r="AU247" s="357"/>
      <c r="AV247" s="357"/>
      <c r="AW247" s="357"/>
      <c r="AX247" s="357"/>
      <c r="AY247" s="357"/>
      <c r="AZ247" s="357"/>
      <c r="BA247" s="357"/>
      <c r="BB247" s="357"/>
      <c r="BC247" s="357"/>
      <c r="BD247" s="357"/>
      <c r="BE247" s="357"/>
      <c r="BF247" s="357"/>
      <c r="BG247" s="357"/>
      <c r="BH247" s="357"/>
      <c r="BI247" s="357"/>
      <c r="BJ247" s="357"/>
      <c r="BK247" s="362"/>
      <c r="BL247" s="5"/>
      <c r="BM247" s="1"/>
      <c r="BN247" s="1"/>
      <c r="BO247" s="1"/>
      <c r="BP247" s="1"/>
      <c r="BQ247" s="1"/>
      <c r="BR247" s="1"/>
      <c r="BS247" s="1"/>
    </row>
    <row r="248" spans="1:71" ht="7.5" customHeight="1" x14ac:dyDescent="0.25">
      <c r="A248" s="6"/>
      <c r="B248" s="359" t="s">
        <v>1306</v>
      </c>
      <c r="C248" s="360"/>
      <c r="D248" s="360"/>
      <c r="E248" s="360"/>
      <c r="F248" s="360"/>
      <c r="G248" s="360"/>
      <c r="H248" s="360"/>
      <c r="I248" s="360"/>
      <c r="J248" s="360"/>
      <c r="K248" s="465" t="s">
        <v>1368</v>
      </c>
      <c r="L248" s="465"/>
      <c r="M248" s="465"/>
      <c r="N248" s="465"/>
      <c r="O248" s="465"/>
      <c r="P248" s="465"/>
      <c r="Q248" s="465"/>
      <c r="R248" s="465"/>
      <c r="S248" s="465"/>
      <c r="T248" s="465"/>
      <c r="U248" s="465"/>
      <c r="V248" s="465"/>
      <c r="W248" s="465"/>
      <c r="X248" s="465"/>
      <c r="Y248" s="465"/>
      <c r="Z248" s="465"/>
      <c r="AA248" s="465"/>
      <c r="AB248" s="465"/>
      <c r="AC248" s="465"/>
      <c r="AD248" s="465"/>
      <c r="AE248" s="465"/>
      <c r="AF248" s="465"/>
      <c r="AG248" s="465"/>
      <c r="AH248" s="465"/>
      <c r="AI248" s="465"/>
      <c r="AJ248" s="465"/>
      <c r="AK248" s="465"/>
      <c r="AL248" s="465"/>
      <c r="AM248" s="465"/>
      <c r="AN248" s="465"/>
      <c r="AO248" s="465"/>
      <c r="AP248" s="465"/>
      <c r="AQ248" s="465"/>
      <c r="AR248" s="465"/>
      <c r="AS248" s="465"/>
      <c r="AT248" s="465"/>
      <c r="AU248" s="465"/>
      <c r="AV248" s="465"/>
      <c r="AW248" s="465"/>
      <c r="AX248" s="465"/>
      <c r="AY248" s="465"/>
      <c r="AZ248" s="465"/>
      <c r="BA248" s="465"/>
      <c r="BB248" s="465"/>
      <c r="BC248" s="465"/>
      <c r="BD248" s="465"/>
      <c r="BE248" s="465"/>
      <c r="BF248" s="465"/>
      <c r="BG248" s="465"/>
      <c r="BH248" s="465"/>
      <c r="BI248" s="465"/>
      <c r="BJ248" s="465"/>
      <c r="BK248" s="466"/>
      <c r="BL248" s="5"/>
      <c r="BM248" s="1"/>
      <c r="BN248" s="1"/>
      <c r="BO248" s="1"/>
      <c r="BP248" s="1"/>
      <c r="BQ248" s="1"/>
      <c r="BR248" s="1"/>
      <c r="BS248" s="1"/>
    </row>
    <row r="249" spans="1:71" ht="7.5" customHeight="1" x14ac:dyDescent="0.25">
      <c r="A249" s="6"/>
      <c r="B249" s="354"/>
      <c r="C249" s="355"/>
      <c r="D249" s="355"/>
      <c r="E249" s="355"/>
      <c r="F249" s="355"/>
      <c r="G249" s="355"/>
      <c r="H249" s="355"/>
      <c r="I249" s="355"/>
      <c r="J249" s="355"/>
      <c r="K249" s="467"/>
      <c r="L249" s="467"/>
      <c r="M249" s="467"/>
      <c r="N249" s="467"/>
      <c r="O249" s="467"/>
      <c r="P249" s="467"/>
      <c r="Q249" s="467"/>
      <c r="R249" s="467"/>
      <c r="S249" s="467"/>
      <c r="T249" s="467"/>
      <c r="U249" s="467"/>
      <c r="V249" s="467"/>
      <c r="W249" s="467"/>
      <c r="X249" s="467"/>
      <c r="Y249" s="467"/>
      <c r="Z249" s="467"/>
      <c r="AA249" s="467"/>
      <c r="AB249" s="467"/>
      <c r="AC249" s="467"/>
      <c r="AD249" s="467"/>
      <c r="AE249" s="467"/>
      <c r="AF249" s="467"/>
      <c r="AG249" s="467"/>
      <c r="AH249" s="467"/>
      <c r="AI249" s="467"/>
      <c r="AJ249" s="467"/>
      <c r="AK249" s="467"/>
      <c r="AL249" s="467"/>
      <c r="AM249" s="467"/>
      <c r="AN249" s="467"/>
      <c r="AO249" s="467"/>
      <c r="AP249" s="467"/>
      <c r="AQ249" s="467"/>
      <c r="AR249" s="467"/>
      <c r="AS249" s="467"/>
      <c r="AT249" s="467"/>
      <c r="AU249" s="467"/>
      <c r="AV249" s="467"/>
      <c r="AW249" s="467"/>
      <c r="AX249" s="467"/>
      <c r="AY249" s="467"/>
      <c r="AZ249" s="467"/>
      <c r="BA249" s="467"/>
      <c r="BB249" s="467"/>
      <c r="BC249" s="467"/>
      <c r="BD249" s="467"/>
      <c r="BE249" s="467"/>
      <c r="BF249" s="467"/>
      <c r="BG249" s="467"/>
      <c r="BH249" s="467"/>
      <c r="BI249" s="467"/>
      <c r="BJ249" s="467"/>
      <c r="BK249" s="468"/>
      <c r="BL249" s="5"/>
      <c r="BM249" s="1"/>
      <c r="BN249" s="1"/>
      <c r="BO249" s="1"/>
      <c r="BP249" s="1"/>
      <c r="BQ249" s="1"/>
      <c r="BR249" s="1"/>
      <c r="BS249" s="1"/>
    </row>
    <row r="250" spans="1:71" ht="7.5" customHeight="1" x14ac:dyDescent="0.25">
      <c r="A250" s="6"/>
      <c r="B250" s="356"/>
      <c r="C250" s="357"/>
      <c r="D250" s="357"/>
      <c r="E250" s="357"/>
      <c r="F250" s="357"/>
      <c r="G250" s="357"/>
      <c r="H250" s="357"/>
      <c r="I250" s="357"/>
      <c r="J250" s="357"/>
      <c r="K250" s="469"/>
      <c r="L250" s="469"/>
      <c r="M250" s="469"/>
      <c r="N250" s="469"/>
      <c r="O250" s="469"/>
      <c r="P250" s="469"/>
      <c r="Q250" s="469"/>
      <c r="R250" s="469"/>
      <c r="S250" s="469"/>
      <c r="T250" s="469"/>
      <c r="U250" s="469"/>
      <c r="V250" s="469"/>
      <c r="W250" s="469"/>
      <c r="X250" s="469"/>
      <c r="Y250" s="469"/>
      <c r="Z250" s="469"/>
      <c r="AA250" s="469"/>
      <c r="AB250" s="469"/>
      <c r="AC250" s="469"/>
      <c r="AD250" s="469"/>
      <c r="AE250" s="469"/>
      <c r="AF250" s="469"/>
      <c r="AG250" s="469"/>
      <c r="AH250" s="469"/>
      <c r="AI250" s="469"/>
      <c r="AJ250" s="469"/>
      <c r="AK250" s="469"/>
      <c r="AL250" s="469"/>
      <c r="AM250" s="469"/>
      <c r="AN250" s="469"/>
      <c r="AO250" s="469"/>
      <c r="AP250" s="469"/>
      <c r="AQ250" s="469"/>
      <c r="AR250" s="469"/>
      <c r="AS250" s="469"/>
      <c r="AT250" s="469"/>
      <c r="AU250" s="469"/>
      <c r="AV250" s="469"/>
      <c r="AW250" s="469"/>
      <c r="AX250" s="469"/>
      <c r="AY250" s="469"/>
      <c r="AZ250" s="469"/>
      <c r="BA250" s="469"/>
      <c r="BB250" s="469"/>
      <c r="BC250" s="469"/>
      <c r="BD250" s="469"/>
      <c r="BE250" s="469"/>
      <c r="BF250" s="469"/>
      <c r="BG250" s="469"/>
      <c r="BH250" s="469"/>
      <c r="BI250" s="469"/>
      <c r="BJ250" s="469"/>
      <c r="BK250" s="470"/>
      <c r="BL250" s="5"/>
      <c r="BM250" s="1"/>
      <c r="BN250" s="1"/>
      <c r="BO250" s="1"/>
      <c r="BP250" s="1"/>
      <c r="BQ250" s="1"/>
      <c r="BR250" s="1"/>
      <c r="BS250" s="1"/>
    </row>
    <row r="251" spans="1:71" ht="7.5" customHeight="1" x14ac:dyDescent="0.25">
      <c r="A251" s="6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5"/>
      <c r="BM251" s="1"/>
      <c r="BN251" s="1"/>
      <c r="BO251" s="1"/>
      <c r="BP251" s="1"/>
      <c r="BQ251" s="1"/>
      <c r="BR251" s="1"/>
      <c r="BS251" s="1"/>
    </row>
    <row r="252" spans="1:71" ht="7.5" customHeight="1" x14ac:dyDescent="0.25">
      <c r="A252" s="6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5"/>
      <c r="BM252" s="1"/>
      <c r="BN252" s="1"/>
      <c r="BO252" s="1"/>
      <c r="BP252" s="1"/>
      <c r="BQ252" s="1"/>
      <c r="BR252" s="1"/>
      <c r="BS252" s="1"/>
    </row>
    <row r="253" spans="1:71" ht="7.5" customHeight="1" x14ac:dyDescent="0.25">
      <c r="A253" s="6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5"/>
      <c r="BM253" s="1"/>
      <c r="BN253" s="1"/>
      <c r="BO253" s="1"/>
      <c r="BP253" s="1"/>
      <c r="BQ253" s="1"/>
      <c r="BR253" s="1"/>
      <c r="BS253" s="1"/>
    </row>
    <row r="254" spans="1:71" ht="7.5" customHeight="1" x14ac:dyDescent="0.25">
      <c r="A254" s="6"/>
      <c r="B254" s="245" t="s">
        <v>1307</v>
      </c>
      <c r="C254" s="246"/>
      <c r="D254" s="246"/>
      <c r="E254" s="246"/>
      <c r="F254" s="246"/>
      <c r="G254" s="246"/>
      <c r="H254" s="246"/>
      <c r="I254" s="246"/>
      <c r="J254" s="246"/>
      <c r="K254" s="246"/>
      <c r="L254" s="246"/>
      <c r="M254" s="246"/>
      <c r="N254" s="246"/>
      <c r="O254" s="246"/>
      <c r="P254" s="246"/>
      <c r="Q254" s="246"/>
      <c r="R254" s="246"/>
      <c r="S254" s="246"/>
      <c r="T254" s="246"/>
      <c r="U254" s="246"/>
      <c r="V254" s="246"/>
      <c r="W254" s="247"/>
      <c r="X254" s="219" t="s">
        <v>1304</v>
      </c>
      <c r="Y254" s="220"/>
      <c r="Z254" s="220"/>
      <c r="AA254" s="220"/>
      <c r="AB254" s="220"/>
      <c r="AC254" s="220"/>
      <c r="AD254" s="220"/>
      <c r="AE254" s="60"/>
      <c r="AF254" s="60"/>
      <c r="AG254" s="60"/>
      <c r="AH254" s="60"/>
      <c r="AI254" s="60"/>
      <c r="AJ254" s="60"/>
      <c r="AK254" s="60"/>
      <c r="AL254" s="60"/>
      <c r="AM254" s="60"/>
      <c r="AN254" s="60"/>
      <c r="AO254" s="60"/>
      <c r="AP254" s="60"/>
      <c r="AQ254" s="60"/>
      <c r="AR254" s="60"/>
      <c r="AS254" s="60"/>
      <c r="AT254" s="39"/>
      <c r="AU254" s="64"/>
      <c r="AV254" s="64"/>
      <c r="AW254" s="64"/>
      <c r="AX254" s="64"/>
      <c r="AY254" s="65"/>
      <c r="AZ254" s="65"/>
      <c r="BA254" s="65"/>
      <c r="BB254" s="65"/>
      <c r="BC254" s="65"/>
      <c r="BD254" s="65"/>
      <c r="BE254" s="65"/>
      <c r="BF254" s="65"/>
      <c r="BG254" s="65"/>
      <c r="BH254" s="65"/>
      <c r="BI254" s="65"/>
      <c r="BJ254" s="65"/>
      <c r="BK254" s="65"/>
      <c r="BL254" s="5"/>
      <c r="BM254" s="1"/>
      <c r="BN254" s="1"/>
      <c r="BO254" s="1"/>
      <c r="BP254" s="1"/>
      <c r="BQ254" s="1"/>
      <c r="BR254" s="1"/>
      <c r="BS254" s="1"/>
    </row>
    <row r="255" spans="1:71" ht="7.5" customHeight="1" x14ac:dyDescent="0.25">
      <c r="A255" s="6"/>
      <c r="B255" s="248"/>
      <c r="C255" s="249"/>
      <c r="D255" s="249"/>
      <c r="E255" s="249"/>
      <c r="F255" s="249"/>
      <c r="G255" s="249"/>
      <c r="H255" s="249"/>
      <c r="I255" s="249"/>
      <c r="J255" s="249"/>
      <c r="K255" s="249"/>
      <c r="L255" s="249"/>
      <c r="M255" s="249"/>
      <c r="N255" s="249"/>
      <c r="O255" s="249"/>
      <c r="P255" s="249"/>
      <c r="Q255" s="249"/>
      <c r="R255" s="249"/>
      <c r="S255" s="249"/>
      <c r="T255" s="249"/>
      <c r="U255" s="249"/>
      <c r="V255" s="249"/>
      <c r="W255" s="250"/>
      <c r="X255" s="99"/>
      <c r="Y255" s="100"/>
      <c r="Z255" s="100"/>
      <c r="AA255" s="100"/>
      <c r="AB255" s="100"/>
      <c r="AC255" s="100"/>
      <c r="AD255" s="100"/>
      <c r="AE255" s="1"/>
      <c r="AF255" s="332" t="s">
        <v>1280</v>
      </c>
      <c r="AG255" s="333"/>
      <c r="AH255" s="334" t="s">
        <v>1272</v>
      </c>
      <c r="AI255" s="273"/>
      <c r="AJ255" s="273"/>
      <c r="AK255" s="273"/>
      <c r="AL255" s="1"/>
      <c r="AM255" s="1"/>
      <c r="AN255" s="332"/>
      <c r="AO255" s="333"/>
      <c r="AP255" s="334" t="s">
        <v>1273</v>
      </c>
      <c r="AQ255" s="273"/>
      <c r="AR255" s="273"/>
      <c r="AS255" s="1"/>
      <c r="AT255" s="5"/>
      <c r="AU255" s="1"/>
      <c r="AV255" s="1"/>
      <c r="AW255" s="1"/>
      <c r="AX255" s="1"/>
      <c r="AY255" s="65"/>
      <c r="AZ255" s="65"/>
      <c r="BA255" s="65"/>
      <c r="BB255" s="65"/>
      <c r="BC255" s="65"/>
      <c r="BD255" s="65"/>
      <c r="BE255" s="65"/>
      <c r="BF255" s="65"/>
      <c r="BG255" s="65"/>
      <c r="BH255" s="65"/>
      <c r="BI255" s="65"/>
      <c r="BJ255" s="65"/>
      <c r="BK255" s="65"/>
      <c r="BL255" s="5"/>
      <c r="BM255" s="1"/>
      <c r="BN255" s="1"/>
      <c r="BO255" s="1"/>
      <c r="BP255" s="1"/>
      <c r="BQ255" s="1"/>
      <c r="BR255" s="1"/>
      <c r="BS255" s="1"/>
    </row>
    <row r="256" spans="1:71" ht="7.5" customHeight="1" x14ac:dyDescent="0.25">
      <c r="A256" s="6"/>
      <c r="B256" s="248"/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50"/>
      <c r="X256" s="99"/>
      <c r="Y256" s="100"/>
      <c r="Z256" s="100"/>
      <c r="AA256" s="100"/>
      <c r="AB256" s="100"/>
      <c r="AC256" s="100"/>
      <c r="AD256" s="100"/>
      <c r="AE256" s="1"/>
      <c r="AF256" s="336"/>
      <c r="AG256" s="337"/>
      <c r="AH256" s="334"/>
      <c r="AI256" s="273"/>
      <c r="AJ256" s="273"/>
      <c r="AK256" s="273"/>
      <c r="AL256" s="1"/>
      <c r="AM256" s="1"/>
      <c r="AN256" s="336"/>
      <c r="AO256" s="337"/>
      <c r="AP256" s="334"/>
      <c r="AQ256" s="273"/>
      <c r="AR256" s="273"/>
      <c r="AS256" s="1"/>
      <c r="AT256" s="5"/>
      <c r="AU256" s="1"/>
      <c r="AV256" s="1"/>
      <c r="AW256" s="1"/>
      <c r="AX256" s="1"/>
      <c r="AY256" s="66"/>
      <c r="AZ256" s="66"/>
      <c r="BA256" s="66"/>
      <c r="BB256" s="66"/>
      <c r="BC256" s="66"/>
      <c r="BD256" s="66"/>
      <c r="BE256" s="66"/>
      <c r="BF256" s="66"/>
      <c r="BG256" s="66"/>
      <c r="BH256" s="66"/>
      <c r="BI256" s="66"/>
      <c r="BJ256" s="66"/>
      <c r="BK256" s="66"/>
      <c r="BL256" s="5"/>
      <c r="BM256" s="1"/>
      <c r="BN256" s="1"/>
      <c r="BO256" s="1"/>
      <c r="BP256" s="1"/>
      <c r="BQ256" s="1"/>
      <c r="BR256" s="1"/>
      <c r="BS256" s="1"/>
    </row>
    <row r="257" spans="1:71" ht="7.5" customHeight="1" x14ac:dyDescent="0.25">
      <c r="A257" s="6"/>
      <c r="B257" s="248"/>
      <c r="C257" s="249"/>
      <c r="D257" s="249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50"/>
      <c r="X257" s="102"/>
      <c r="Y257" s="103"/>
      <c r="Z257" s="103"/>
      <c r="AA257" s="103"/>
      <c r="AB257" s="103"/>
      <c r="AC257" s="103"/>
      <c r="AD257" s="103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59"/>
      <c r="AU257" s="1"/>
      <c r="AV257" s="1"/>
      <c r="AW257" s="1"/>
      <c r="AX257" s="1"/>
      <c r="AY257" s="66"/>
      <c r="AZ257" s="66"/>
      <c r="BA257" s="66"/>
      <c r="BB257" s="66"/>
      <c r="BC257" s="66"/>
      <c r="BD257" s="66"/>
      <c r="BE257" s="66"/>
      <c r="BF257" s="66"/>
      <c r="BG257" s="66"/>
      <c r="BH257" s="66"/>
      <c r="BI257" s="66"/>
      <c r="BJ257" s="66"/>
      <c r="BK257" s="66"/>
      <c r="BL257" s="5"/>
      <c r="BM257" s="1"/>
      <c r="BN257" s="1"/>
      <c r="BO257" s="1"/>
      <c r="BP257" s="1"/>
      <c r="BQ257" s="1"/>
      <c r="BR257" s="1"/>
      <c r="BS257" s="1"/>
    </row>
    <row r="258" spans="1:71" ht="7.5" customHeight="1" x14ac:dyDescent="0.25">
      <c r="A258" s="6"/>
      <c r="B258" s="380" t="s">
        <v>1308</v>
      </c>
      <c r="C258" s="381"/>
      <c r="D258" s="381"/>
      <c r="E258" s="381"/>
      <c r="F258" s="381"/>
      <c r="G258" s="381"/>
      <c r="H258" s="381"/>
      <c r="I258" s="381"/>
      <c r="J258" s="381"/>
      <c r="K258" s="381"/>
      <c r="L258" s="381"/>
      <c r="M258" s="381"/>
      <c r="N258" s="381"/>
      <c r="O258" s="381"/>
      <c r="P258" s="381"/>
      <c r="Q258" s="381"/>
      <c r="R258" s="381"/>
      <c r="S258" s="381"/>
      <c r="T258" s="381"/>
      <c r="U258" s="381"/>
      <c r="V258" s="381"/>
      <c r="W258" s="381"/>
      <c r="X258" s="381"/>
      <c r="Y258" s="381"/>
      <c r="Z258" s="381"/>
      <c r="AA258" s="381"/>
      <c r="AB258" s="381"/>
      <c r="AC258" s="381"/>
      <c r="AD258" s="381"/>
      <c r="AE258" s="381"/>
      <c r="AF258" s="381"/>
      <c r="AG258" s="381"/>
      <c r="AH258" s="381"/>
      <c r="AI258" s="381"/>
      <c r="AJ258" s="381"/>
      <c r="AK258" s="381"/>
      <c r="AL258" s="381"/>
      <c r="AM258" s="381"/>
      <c r="AN258" s="381"/>
      <c r="AO258" s="381"/>
      <c r="AP258" s="381"/>
      <c r="AQ258" s="381"/>
      <c r="AR258" s="381"/>
      <c r="AS258" s="381"/>
      <c r="AT258" s="381"/>
      <c r="AU258" s="381"/>
      <c r="AV258" s="381"/>
      <c r="AW258" s="381"/>
      <c r="AX258" s="381"/>
      <c r="AY258" s="381"/>
      <c r="AZ258" s="381"/>
      <c r="BA258" s="381"/>
      <c r="BB258" s="381"/>
      <c r="BC258" s="381"/>
      <c r="BD258" s="381"/>
      <c r="BE258" s="381"/>
      <c r="BF258" s="381"/>
      <c r="BG258" s="381"/>
      <c r="BH258" s="381"/>
      <c r="BI258" s="381"/>
      <c r="BJ258" s="381"/>
      <c r="BK258" s="382"/>
      <c r="BL258" s="5"/>
      <c r="BM258" s="1"/>
      <c r="BN258" s="1"/>
      <c r="BO258" s="1"/>
      <c r="BP258" s="1"/>
      <c r="BQ258" s="1"/>
      <c r="BR258" s="1"/>
      <c r="BS258" s="1"/>
    </row>
    <row r="259" spans="1:71" ht="7.5" customHeight="1" x14ac:dyDescent="0.25">
      <c r="A259" s="6"/>
      <c r="B259" s="371"/>
      <c r="C259" s="372"/>
      <c r="D259" s="372"/>
      <c r="E259" s="372"/>
      <c r="F259" s="372"/>
      <c r="G259" s="372"/>
      <c r="H259" s="372"/>
      <c r="I259" s="372"/>
      <c r="J259" s="372"/>
      <c r="K259" s="372"/>
      <c r="L259" s="372"/>
      <c r="M259" s="372"/>
      <c r="N259" s="372"/>
      <c r="O259" s="372"/>
      <c r="P259" s="372"/>
      <c r="Q259" s="372"/>
      <c r="R259" s="372"/>
      <c r="S259" s="372"/>
      <c r="T259" s="372"/>
      <c r="U259" s="372"/>
      <c r="V259" s="372"/>
      <c r="W259" s="372"/>
      <c r="X259" s="372"/>
      <c r="Y259" s="372"/>
      <c r="Z259" s="372"/>
      <c r="AA259" s="372"/>
      <c r="AB259" s="372"/>
      <c r="AC259" s="372"/>
      <c r="AD259" s="372"/>
      <c r="AE259" s="372"/>
      <c r="AF259" s="372"/>
      <c r="AG259" s="372"/>
      <c r="AH259" s="372"/>
      <c r="AI259" s="372"/>
      <c r="AJ259" s="372"/>
      <c r="AK259" s="372"/>
      <c r="AL259" s="372"/>
      <c r="AM259" s="372"/>
      <c r="AN259" s="372"/>
      <c r="AO259" s="372"/>
      <c r="AP259" s="372"/>
      <c r="AQ259" s="372"/>
      <c r="AR259" s="372"/>
      <c r="AS259" s="372"/>
      <c r="AT259" s="372"/>
      <c r="AU259" s="372"/>
      <c r="AV259" s="372"/>
      <c r="AW259" s="372"/>
      <c r="AX259" s="372"/>
      <c r="AY259" s="372"/>
      <c r="AZ259" s="372"/>
      <c r="BA259" s="372"/>
      <c r="BB259" s="372"/>
      <c r="BC259" s="372"/>
      <c r="BD259" s="372"/>
      <c r="BE259" s="372"/>
      <c r="BF259" s="372"/>
      <c r="BG259" s="372"/>
      <c r="BH259" s="372"/>
      <c r="BI259" s="372"/>
      <c r="BJ259" s="372"/>
      <c r="BK259" s="373"/>
      <c r="BL259" s="5"/>
      <c r="BM259" s="1"/>
      <c r="BN259" s="1"/>
      <c r="BO259" s="1"/>
      <c r="BP259" s="1"/>
      <c r="BQ259" s="1"/>
      <c r="BR259" s="1"/>
      <c r="BS259" s="1"/>
    </row>
    <row r="260" spans="1:71" ht="7.5" customHeight="1" x14ac:dyDescent="0.25">
      <c r="A260" s="6"/>
      <c r="B260" s="6"/>
      <c r="C260" s="1"/>
      <c r="D260" s="1"/>
      <c r="E260" s="1"/>
      <c r="F260" s="1"/>
      <c r="G260" s="1"/>
      <c r="H260" s="1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7"/>
      <c r="Z260" s="67"/>
      <c r="AA260" s="67"/>
      <c r="AB260" s="67"/>
      <c r="AC260" s="67"/>
      <c r="AD260" s="67"/>
      <c r="AE260" s="67"/>
      <c r="AF260" s="67"/>
      <c r="AG260" s="67"/>
      <c r="AH260" s="67"/>
      <c r="AI260" s="67"/>
      <c r="AJ260" s="67"/>
      <c r="AK260" s="67"/>
      <c r="AL260" s="67"/>
      <c r="AM260" s="67"/>
      <c r="AN260" s="67"/>
      <c r="AO260" s="67"/>
      <c r="AP260" s="67"/>
      <c r="AQ260" s="67"/>
      <c r="AR260" s="67"/>
      <c r="AS260" s="67"/>
      <c r="AT260" s="64"/>
      <c r="AU260" s="376"/>
      <c r="AV260" s="376"/>
      <c r="AW260" s="376"/>
      <c r="AX260" s="376"/>
      <c r="AY260" s="376"/>
      <c r="AZ260" s="376"/>
      <c r="BA260" s="376"/>
      <c r="BB260" s="376"/>
      <c r="BC260" s="376"/>
      <c r="BD260" s="376"/>
      <c r="BE260" s="376"/>
      <c r="BF260" s="376"/>
      <c r="BG260" s="376"/>
      <c r="BH260" s="376"/>
      <c r="BI260" s="376"/>
      <c r="BJ260" s="376"/>
      <c r="BK260" s="377"/>
      <c r="BL260" s="5"/>
      <c r="BM260" s="47" t="s">
        <v>1309</v>
      </c>
      <c r="BN260" s="1"/>
      <c r="BO260" s="1"/>
      <c r="BP260" s="1"/>
      <c r="BQ260" s="1"/>
      <c r="BR260" s="1"/>
      <c r="BS260" s="1"/>
    </row>
    <row r="261" spans="1:71" ht="7.5" customHeight="1" x14ac:dyDescent="0.25">
      <c r="A261" s="6"/>
      <c r="B261" s="6"/>
      <c r="C261" s="1"/>
      <c r="D261" s="1"/>
      <c r="E261" s="1"/>
      <c r="F261" s="1"/>
      <c r="G261" s="1"/>
      <c r="H261" s="374" t="s">
        <v>1310</v>
      </c>
      <c r="I261" s="374"/>
      <c r="J261" s="374"/>
      <c r="K261" s="68"/>
      <c r="L261" s="68"/>
      <c r="M261" s="68"/>
      <c r="N261" s="374" t="s">
        <v>1311</v>
      </c>
      <c r="O261" s="374"/>
      <c r="P261" s="374"/>
      <c r="Q261" s="68"/>
      <c r="R261" s="68"/>
      <c r="S261" s="68"/>
      <c r="T261" s="374" t="s">
        <v>1312</v>
      </c>
      <c r="U261" s="374"/>
      <c r="V261" s="374"/>
      <c r="W261" s="374"/>
      <c r="X261" s="374"/>
      <c r="Y261" s="68"/>
      <c r="Z261" s="69"/>
      <c r="AA261" s="69"/>
      <c r="AB261" s="374" t="s">
        <v>1313</v>
      </c>
      <c r="AC261" s="374"/>
      <c r="AD261" s="374"/>
      <c r="AE261" s="68"/>
      <c r="AF261" s="69"/>
      <c r="AG261" s="69"/>
      <c r="AH261" s="374" t="s">
        <v>1314</v>
      </c>
      <c r="AI261" s="374"/>
      <c r="AJ261" s="374"/>
      <c r="AK261" s="68"/>
      <c r="AL261" s="69"/>
      <c r="AM261" s="69"/>
      <c r="AN261" s="374" t="s">
        <v>1315</v>
      </c>
      <c r="AO261" s="374"/>
      <c r="AP261" s="374"/>
      <c r="AQ261" s="67"/>
      <c r="AR261" s="67"/>
      <c r="AS261" s="67"/>
      <c r="AT261" s="49"/>
      <c r="AU261" s="376"/>
      <c r="AV261" s="376"/>
      <c r="AW261" s="376"/>
      <c r="AX261" s="376"/>
      <c r="AY261" s="376"/>
      <c r="AZ261" s="376"/>
      <c r="BA261" s="376"/>
      <c r="BB261" s="376"/>
      <c r="BC261" s="376"/>
      <c r="BD261" s="376"/>
      <c r="BE261" s="376"/>
      <c r="BF261" s="376"/>
      <c r="BG261" s="376"/>
      <c r="BH261" s="376"/>
      <c r="BI261" s="376"/>
      <c r="BJ261" s="376"/>
      <c r="BK261" s="377"/>
      <c r="BL261" s="5"/>
      <c r="BM261" s="47" t="s">
        <v>1309</v>
      </c>
      <c r="BN261" s="1"/>
      <c r="BO261" s="1"/>
      <c r="BP261" s="1"/>
      <c r="BQ261" s="1"/>
      <c r="BR261" s="1"/>
      <c r="BS261" s="1"/>
    </row>
    <row r="262" spans="1:71" ht="7.5" customHeight="1" x14ac:dyDescent="0.25">
      <c r="A262" s="6"/>
      <c r="B262" s="6"/>
      <c r="C262" s="1"/>
      <c r="D262" s="1"/>
      <c r="E262" s="1"/>
      <c r="F262" s="1"/>
      <c r="G262" s="51" t="str">
        <f>IF(BM260="LEVELSA1","x"," ")</f>
        <v xml:space="preserve"> </v>
      </c>
      <c r="H262" s="374"/>
      <c r="I262" s="374"/>
      <c r="J262" s="374"/>
      <c r="K262" s="68"/>
      <c r="L262" s="68"/>
      <c r="M262" s="51" t="str">
        <f>IF(BM260="LEVELSA2","x"," ")</f>
        <v xml:space="preserve"> </v>
      </c>
      <c r="N262" s="374"/>
      <c r="O262" s="374"/>
      <c r="P262" s="374"/>
      <c r="Q262" s="68"/>
      <c r="R262" s="68"/>
      <c r="S262" s="51" t="str">
        <f>IF(BM261="LEVELSA2 1/2","x"," ")</f>
        <v>x</v>
      </c>
      <c r="T262" s="374"/>
      <c r="U262" s="374"/>
      <c r="V262" s="374"/>
      <c r="W262" s="374"/>
      <c r="X262" s="374"/>
      <c r="Y262" s="68"/>
      <c r="Z262" s="69"/>
      <c r="AA262" s="51" t="str">
        <f>IF(BM262="LEVELSA3","x"," ")</f>
        <v xml:space="preserve"> </v>
      </c>
      <c r="AB262" s="374"/>
      <c r="AC262" s="374"/>
      <c r="AD262" s="374"/>
      <c r="AE262" s="68"/>
      <c r="AF262" s="69"/>
      <c r="AG262" s="51" t="str">
        <f>IF(BM263="LEVELST2","x"," ")</f>
        <v xml:space="preserve"> </v>
      </c>
      <c r="AH262" s="374"/>
      <c r="AI262" s="374"/>
      <c r="AJ262" s="374"/>
      <c r="AK262" s="68"/>
      <c r="AL262" s="69"/>
      <c r="AM262" s="51" t="str">
        <f>IF(BM263="LEVELST3","x"," ")</f>
        <v xml:space="preserve"> </v>
      </c>
      <c r="AN262" s="374"/>
      <c r="AO262" s="374"/>
      <c r="AP262" s="374"/>
      <c r="AQ262" s="49"/>
      <c r="AR262" s="49"/>
      <c r="AS262" s="49"/>
      <c r="AT262" s="49"/>
      <c r="AU262" s="376"/>
      <c r="AV262" s="376"/>
      <c r="AW262" s="376"/>
      <c r="AX262" s="376"/>
      <c r="AY262" s="376"/>
      <c r="AZ262" s="376"/>
      <c r="BA262" s="376"/>
      <c r="BB262" s="376"/>
      <c r="BC262" s="376"/>
      <c r="BD262" s="376"/>
      <c r="BE262" s="376"/>
      <c r="BF262" s="376"/>
      <c r="BG262" s="376"/>
      <c r="BH262" s="376"/>
      <c r="BI262" s="376"/>
      <c r="BJ262" s="376"/>
      <c r="BK262" s="377"/>
      <c r="BL262" s="5"/>
      <c r="BM262" s="47" t="s">
        <v>1309</v>
      </c>
      <c r="BN262" s="1"/>
      <c r="BO262" s="1"/>
      <c r="BP262" s="1"/>
      <c r="BQ262" s="1"/>
      <c r="BR262" s="1"/>
      <c r="BS262" s="1"/>
    </row>
    <row r="263" spans="1:71" ht="7.5" customHeight="1" x14ac:dyDescent="0.25">
      <c r="A263" s="6"/>
      <c r="B263" s="58"/>
      <c r="C263" s="25"/>
      <c r="D263" s="25"/>
      <c r="E263" s="25"/>
      <c r="F263" s="25"/>
      <c r="G263" s="25"/>
      <c r="H263" s="375"/>
      <c r="I263" s="375"/>
      <c r="J263" s="375"/>
      <c r="K263" s="70"/>
      <c r="L263" s="70"/>
      <c r="M263" s="70"/>
      <c r="N263" s="375"/>
      <c r="O263" s="375"/>
      <c r="P263" s="375"/>
      <c r="Q263" s="70"/>
      <c r="R263" s="70"/>
      <c r="S263" s="70"/>
      <c r="T263" s="375"/>
      <c r="U263" s="375"/>
      <c r="V263" s="375"/>
      <c r="W263" s="375"/>
      <c r="X263" s="375"/>
      <c r="Y263" s="70"/>
      <c r="Z263" s="71"/>
      <c r="AA263" s="71"/>
      <c r="AB263" s="375"/>
      <c r="AC263" s="375"/>
      <c r="AD263" s="375"/>
      <c r="AE263" s="70"/>
      <c r="AF263" s="71"/>
      <c r="AG263" s="71"/>
      <c r="AH263" s="375"/>
      <c r="AI263" s="375"/>
      <c r="AJ263" s="375"/>
      <c r="AK263" s="70"/>
      <c r="AL263" s="71"/>
      <c r="AM263" s="71"/>
      <c r="AN263" s="375"/>
      <c r="AO263" s="375"/>
      <c r="AP263" s="375"/>
      <c r="AQ263" s="53"/>
      <c r="AR263" s="53"/>
      <c r="AS263" s="53"/>
      <c r="AT263" s="53"/>
      <c r="AU263" s="378"/>
      <c r="AV263" s="378"/>
      <c r="AW263" s="378"/>
      <c r="AX263" s="378"/>
      <c r="AY263" s="378"/>
      <c r="AZ263" s="378"/>
      <c r="BA263" s="378"/>
      <c r="BB263" s="378"/>
      <c r="BC263" s="378"/>
      <c r="BD263" s="378"/>
      <c r="BE263" s="378"/>
      <c r="BF263" s="378"/>
      <c r="BG263" s="378"/>
      <c r="BH263" s="378"/>
      <c r="BI263" s="378"/>
      <c r="BJ263" s="378"/>
      <c r="BK263" s="379"/>
      <c r="BL263" s="5"/>
      <c r="BM263" s="47" t="s">
        <v>1309</v>
      </c>
      <c r="BN263" s="1"/>
      <c r="BO263" s="1"/>
      <c r="BP263" s="1"/>
      <c r="BQ263" s="1"/>
      <c r="BR263" s="1"/>
      <c r="BS263" s="1"/>
    </row>
    <row r="264" spans="1:71" ht="7.5" customHeight="1" x14ac:dyDescent="0.25">
      <c r="A264" s="6"/>
      <c r="B264" s="371" t="s">
        <v>1316</v>
      </c>
      <c r="C264" s="372"/>
      <c r="D264" s="372"/>
      <c r="E264" s="372"/>
      <c r="F264" s="372"/>
      <c r="G264" s="372"/>
      <c r="H264" s="372"/>
      <c r="I264" s="372"/>
      <c r="J264" s="372"/>
      <c r="K264" s="372"/>
      <c r="L264" s="372"/>
      <c r="M264" s="372"/>
      <c r="N264" s="372"/>
      <c r="O264" s="372"/>
      <c r="P264" s="372"/>
      <c r="Q264" s="372"/>
      <c r="R264" s="372"/>
      <c r="S264" s="372"/>
      <c r="T264" s="372"/>
      <c r="U264" s="372"/>
      <c r="V264" s="372"/>
      <c r="W264" s="372"/>
      <c r="X264" s="372"/>
      <c r="Y264" s="372"/>
      <c r="Z264" s="372"/>
      <c r="AA264" s="372"/>
      <c r="AB264" s="372"/>
      <c r="AC264" s="372"/>
      <c r="AD264" s="372"/>
      <c r="AE264" s="372"/>
      <c r="AF264" s="372"/>
      <c r="AG264" s="372"/>
      <c r="AH264" s="372"/>
      <c r="AI264" s="372"/>
      <c r="AJ264" s="372"/>
      <c r="AK264" s="372"/>
      <c r="AL264" s="372"/>
      <c r="AM264" s="372"/>
      <c r="AN264" s="372"/>
      <c r="AO264" s="372"/>
      <c r="AP264" s="372"/>
      <c r="AQ264" s="372"/>
      <c r="AR264" s="372"/>
      <c r="AS264" s="372"/>
      <c r="AT264" s="372"/>
      <c r="AU264" s="372"/>
      <c r="AV264" s="372"/>
      <c r="AW264" s="372"/>
      <c r="AX264" s="372"/>
      <c r="AY264" s="372"/>
      <c r="AZ264" s="372"/>
      <c r="BA264" s="372"/>
      <c r="BB264" s="372"/>
      <c r="BC264" s="372"/>
      <c r="BD264" s="372"/>
      <c r="BE264" s="372"/>
      <c r="BF264" s="372"/>
      <c r="BG264" s="372"/>
      <c r="BH264" s="372"/>
      <c r="BI264" s="372"/>
      <c r="BJ264" s="372"/>
      <c r="BK264" s="373"/>
      <c r="BL264" s="5"/>
      <c r="BM264" s="1"/>
      <c r="BN264" s="1"/>
      <c r="BO264" s="1"/>
      <c r="BP264" s="1"/>
      <c r="BQ264" s="1"/>
      <c r="BR264" s="1"/>
      <c r="BS264" s="1"/>
    </row>
    <row r="265" spans="1:71" ht="7.5" customHeight="1" x14ac:dyDescent="0.25">
      <c r="A265" s="6"/>
      <c r="B265" s="371"/>
      <c r="C265" s="372"/>
      <c r="D265" s="372"/>
      <c r="E265" s="372"/>
      <c r="F265" s="372"/>
      <c r="G265" s="372"/>
      <c r="H265" s="372"/>
      <c r="I265" s="372"/>
      <c r="J265" s="372"/>
      <c r="K265" s="372"/>
      <c r="L265" s="372"/>
      <c r="M265" s="372"/>
      <c r="N265" s="372"/>
      <c r="O265" s="372"/>
      <c r="P265" s="372"/>
      <c r="Q265" s="372"/>
      <c r="R265" s="372"/>
      <c r="S265" s="372"/>
      <c r="T265" s="372"/>
      <c r="U265" s="372"/>
      <c r="V265" s="372"/>
      <c r="W265" s="372"/>
      <c r="X265" s="372"/>
      <c r="Y265" s="372"/>
      <c r="Z265" s="372"/>
      <c r="AA265" s="372"/>
      <c r="AB265" s="372"/>
      <c r="AC265" s="372"/>
      <c r="AD265" s="372"/>
      <c r="AE265" s="372"/>
      <c r="AF265" s="372"/>
      <c r="AG265" s="372"/>
      <c r="AH265" s="372"/>
      <c r="AI265" s="372"/>
      <c r="AJ265" s="372"/>
      <c r="AK265" s="372"/>
      <c r="AL265" s="372"/>
      <c r="AM265" s="372"/>
      <c r="AN265" s="372"/>
      <c r="AO265" s="372"/>
      <c r="AP265" s="372"/>
      <c r="AQ265" s="372"/>
      <c r="AR265" s="372"/>
      <c r="AS265" s="372"/>
      <c r="AT265" s="372"/>
      <c r="AU265" s="372"/>
      <c r="AV265" s="372"/>
      <c r="AW265" s="372"/>
      <c r="AX265" s="372"/>
      <c r="AY265" s="372"/>
      <c r="AZ265" s="372"/>
      <c r="BA265" s="372"/>
      <c r="BB265" s="372"/>
      <c r="BC265" s="372"/>
      <c r="BD265" s="372"/>
      <c r="BE265" s="372"/>
      <c r="BF265" s="372"/>
      <c r="BG265" s="372"/>
      <c r="BH265" s="372"/>
      <c r="BI265" s="372"/>
      <c r="BJ265" s="372"/>
      <c r="BK265" s="373"/>
      <c r="BL265" s="5"/>
      <c r="BM265" s="1"/>
      <c r="BN265" s="1"/>
      <c r="BO265" s="1"/>
      <c r="BP265" s="1"/>
      <c r="BQ265" s="1"/>
      <c r="BR265" s="1"/>
      <c r="BS265" s="1"/>
    </row>
    <row r="266" spans="1:71" ht="7.5" customHeight="1" x14ac:dyDescent="0.25">
      <c r="A266" s="6"/>
      <c r="B266" s="6"/>
      <c r="C266" s="1"/>
      <c r="D266" s="1"/>
      <c r="E266" s="1"/>
      <c r="F266" s="1"/>
      <c r="G266" s="1"/>
      <c r="H266" s="1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7"/>
      <c r="Z266" s="67"/>
      <c r="AA266" s="67"/>
      <c r="AB266" s="67"/>
      <c r="AC266" s="67"/>
      <c r="AD266" s="67"/>
      <c r="AE266" s="67"/>
      <c r="AF266" s="67"/>
      <c r="AG266" s="67"/>
      <c r="AH266" s="67"/>
      <c r="AI266" s="67"/>
      <c r="AJ266" s="67"/>
      <c r="AK266" s="67"/>
      <c r="AL266" s="67"/>
      <c r="AM266" s="67"/>
      <c r="AN266" s="67"/>
      <c r="AO266" s="67"/>
      <c r="AP266" s="67"/>
      <c r="AQ266" s="67"/>
      <c r="AR266" s="67"/>
      <c r="AS266" s="67"/>
      <c r="AT266" s="64"/>
      <c r="AU266" s="376"/>
      <c r="AV266" s="376"/>
      <c r="AW266" s="376"/>
      <c r="AX266" s="376"/>
      <c r="AY266" s="376"/>
      <c r="AZ266" s="376"/>
      <c r="BA266" s="376"/>
      <c r="BB266" s="376"/>
      <c r="BC266" s="376"/>
      <c r="BD266" s="376"/>
      <c r="BE266" s="376"/>
      <c r="BF266" s="376"/>
      <c r="BG266" s="376"/>
      <c r="BH266" s="376"/>
      <c r="BI266" s="376"/>
      <c r="BJ266" s="376"/>
      <c r="BK266" s="377"/>
      <c r="BL266" s="5"/>
      <c r="BM266" s="47" t="s">
        <v>1217</v>
      </c>
      <c r="BN266" s="1"/>
      <c r="BO266" s="1"/>
      <c r="BP266" s="1"/>
      <c r="BQ266" s="1"/>
      <c r="BR266" s="1"/>
      <c r="BS266" s="1"/>
    </row>
    <row r="267" spans="1:71" ht="7.5" customHeight="1" x14ac:dyDescent="0.25">
      <c r="A267" s="6"/>
      <c r="B267" s="6"/>
      <c r="C267" s="1"/>
      <c r="D267" s="1"/>
      <c r="E267" s="1"/>
      <c r="F267" s="1"/>
      <c r="G267" s="1"/>
      <c r="H267" s="374" t="s">
        <v>1317</v>
      </c>
      <c r="I267" s="374"/>
      <c r="J267" s="374"/>
      <c r="K267" s="374"/>
      <c r="L267" s="68"/>
      <c r="M267" s="68"/>
      <c r="N267" s="374" t="s">
        <v>1318</v>
      </c>
      <c r="O267" s="374"/>
      <c r="P267" s="374"/>
      <c r="Q267" s="374"/>
      <c r="R267" s="374"/>
      <c r="S267" s="68"/>
      <c r="T267" s="374" t="s">
        <v>1319</v>
      </c>
      <c r="U267" s="374"/>
      <c r="V267" s="374"/>
      <c r="W267" s="374"/>
      <c r="X267" s="374"/>
      <c r="Y267" s="68"/>
      <c r="Z267" s="69"/>
      <c r="AA267" s="69"/>
      <c r="AB267" s="374" t="s">
        <v>1320</v>
      </c>
      <c r="AC267" s="374"/>
      <c r="AD267" s="374"/>
      <c r="AE267" s="374"/>
      <c r="AF267" s="69"/>
      <c r="AG267" s="69"/>
      <c r="AH267" s="374" t="s">
        <v>1321</v>
      </c>
      <c r="AI267" s="374"/>
      <c r="AJ267" s="374"/>
      <c r="AK267" s="374"/>
      <c r="AL267" s="69"/>
      <c r="AM267" s="69"/>
      <c r="AN267" s="374" t="s">
        <v>1322</v>
      </c>
      <c r="AO267" s="374"/>
      <c r="AP267" s="374"/>
      <c r="AQ267" s="374"/>
      <c r="AR267" s="67"/>
      <c r="AS267" s="67"/>
      <c r="AT267" s="49"/>
      <c r="AU267" s="376"/>
      <c r="AV267" s="376"/>
      <c r="AW267" s="376"/>
      <c r="AX267" s="376"/>
      <c r="AY267" s="376"/>
      <c r="AZ267" s="376"/>
      <c r="BA267" s="376"/>
      <c r="BB267" s="376"/>
      <c r="BC267" s="376"/>
      <c r="BD267" s="376"/>
      <c r="BE267" s="376"/>
      <c r="BF267" s="376"/>
      <c r="BG267" s="376"/>
      <c r="BH267" s="376"/>
      <c r="BI267" s="376"/>
      <c r="BJ267" s="376"/>
      <c r="BK267" s="377"/>
      <c r="BL267" s="5"/>
      <c r="BM267" s="47" t="s">
        <v>1217</v>
      </c>
      <c r="BN267" s="1"/>
      <c r="BO267" s="1"/>
      <c r="BP267" s="1"/>
      <c r="BQ267" s="1"/>
      <c r="BR267" s="1"/>
      <c r="BS267" s="1"/>
    </row>
    <row r="268" spans="1:71" ht="7.5" customHeight="1" x14ac:dyDescent="0.25">
      <c r="A268" s="6"/>
      <c r="B268" s="6"/>
      <c r="C268" s="1"/>
      <c r="D268" s="1"/>
      <c r="E268" s="1"/>
      <c r="F268" s="1"/>
      <c r="G268" s="51" t="str">
        <f>IF(BM266="LOCALPSA2","x"," ")</f>
        <v xml:space="preserve"> </v>
      </c>
      <c r="H268" s="374"/>
      <c r="I268" s="374"/>
      <c r="J268" s="374"/>
      <c r="K268" s="374"/>
      <c r="L268" s="68"/>
      <c r="M268" s="51" t="str">
        <f>IF(BM266="LOCALPSA2 1/2","x"," ")</f>
        <v xml:space="preserve"> </v>
      </c>
      <c r="N268" s="374"/>
      <c r="O268" s="374"/>
      <c r="P268" s="374"/>
      <c r="Q268" s="374"/>
      <c r="R268" s="374"/>
      <c r="S268" s="51" t="str">
        <f>IF(BM266="LOCALPSA3","x"," ")</f>
        <v xml:space="preserve"> </v>
      </c>
      <c r="T268" s="374"/>
      <c r="U268" s="374"/>
      <c r="V268" s="374"/>
      <c r="W268" s="374"/>
      <c r="X268" s="374"/>
      <c r="Y268" s="68"/>
      <c r="Z268" s="69"/>
      <c r="AA268" s="51" t="str">
        <f>IF(BM266="LOCALPMA","x"," ")</f>
        <v xml:space="preserve"> </v>
      </c>
      <c r="AB268" s="374"/>
      <c r="AC268" s="374"/>
      <c r="AD268" s="374"/>
      <c r="AE268" s="374"/>
      <c r="AF268" s="69"/>
      <c r="AG268" s="51" t="str">
        <f>IF(BM268="LOCALPST2","x"," ")</f>
        <v xml:space="preserve"> </v>
      </c>
      <c r="AH268" s="374"/>
      <c r="AI268" s="374"/>
      <c r="AJ268" s="374"/>
      <c r="AK268" s="374"/>
      <c r="AL268" s="69"/>
      <c r="AM268" s="51" t="str">
        <f>IF(BM269="LOCALPST3","x"," ")</f>
        <v xml:space="preserve"> </v>
      </c>
      <c r="AN268" s="374"/>
      <c r="AO268" s="374"/>
      <c r="AP268" s="374"/>
      <c r="AQ268" s="374"/>
      <c r="AR268" s="49"/>
      <c r="AS268" s="49"/>
      <c r="AT268" s="49"/>
      <c r="AU268" s="376"/>
      <c r="AV268" s="376"/>
      <c r="AW268" s="376"/>
      <c r="AX268" s="376"/>
      <c r="AY268" s="376"/>
      <c r="AZ268" s="376"/>
      <c r="BA268" s="376"/>
      <c r="BB268" s="376"/>
      <c r="BC268" s="376"/>
      <c r="BD268" s="376"/>
      <c r="BE268" s="376"/>
      <c r="BF268" s="376"/>
      <c r="BG268" s="376"/>
      <c r="BH268" s="376"/>
      <c r="BI268" s="376"/>
      <c r="BJ268" s="376"/>
      <c r="BK268" s="377"/>
      <c r="BL268" s="5"/>
      <c r="BM268" s="47" t="s">
        <v>1217</v>
      </c>
      <c r="BN268" s="1"/>
      <c r="BO268" s="1"/>
      <c r="BP268" s="1"/>
      <c r="BQ268" s="1"/>
      <c r="BR268" s="1"/>
      <c r="BS268" s="1"/>
    </row>
    <row r="269" spans="1:71" ht="7.5" customHeight="1" x14ac:dyDescent="0.25">
      <c r="A269" s="6"/>
      <c r="B269" s="58"/>
      <c r="C269" s="25"/>
      <c r="D269" s="25"/>
      <c r="E269" s="25"/>
      <c r="F269" s="25"/>
      <c r="G269" s="25"/>
      <c r="H269" s="375"/>
      <c r="I269" s="375"/>
      <c r="J269" s="375"/>
      <c r="K269" s="375"/>
      <c r="L269" s="70"/>
      <c r="M269" s="70"/>
      <c r="N269" s="375"/>
      <c r="O269" s="375"/>
      <c r="P269" s="375"/>
      <c r="Q269" s="375"/>
      <c r="R269" s="375"/>
      <c r="S269" s="70"/>
      <c r="T269" s="375"/>
      <c r="U269" s="375"/>
      <c r="V269" s="375"/>
      <c r="W269" s="375"/>
      <c r="X269" s="375"/>
      <c r="Y269" s="70"/>
      <c r="Z269" s="71"/>
      <c r="AA269" s="71"/>
      <c r="AB269" s="375"/>
      <c r="AC269" s="375"/>
      <c r="AD269" s="375"/>
      <c r="AE269" s="375"/>
      <c r="AF269" s="71"/>
      <c r="AG269" s="71"/>
      <c r="AH269" s="375"/>
      <c r="AI269" s="375"/>
      <c r="AJ269" s="375"/>
      <c r="AK269" s="375"/>
      <c r="AL269" s="71"/>
      <c r="AM269" s="71"/>
      <c r="AN269" s="375"/>
      <c r="AO269" s="375"/>
      <c r="AP269" s="375"/>
      <c r="AQ269" s="375"/>
      <c r="AR269" s="53"/>
      <c r="AS269" s="53"/>
      <c r="AT269" s="53"/>
      <c r="AU269" s="378"/>
      <c r="AV269" s="378"/>
      <c r="AW269" s="378"/>
      <c r="AX269" s="378"/>
      <c r="AY269" s="378"/>
      <c r="AZ269" s="378"/>
      <c r="BA269" s="378"/>
      <c r="BB269" s="378"/>
      <c r="BC269" s="378"/>
      <c r="BD269" s="378"/>
      <c r="BE269" s="378"/>
      <c r="BF269" s="378"/>
      <c r="BG269" s="378"/>
      <c r="BH269" s="378"/>
      <c r="BI269" s="378"/>
      <c r="BJ269" s="378"/>
      <c r="BK269" s="379"/>
      <c r="BL269" s="5"/>
      <c r="BM269" s="47" t="s">
        <v>1217</v>
      </c>
      <c r="BN269" s="1"/>
      <c r="BO269" s="1"/>
      <c r="BP269" s="1"/>
      <c r="BQ269" s="1"/>
      <c r="BR269" s="1"/>
      <c r="BS269" s="1"/>
    </row>
    <row r="270" spans="1:71" ht="7.5" customHeight="1" x14ac:dyDescent="0.25">
      <c r="A270" s="6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  <c r="AG270" s="72"/>
      <c r="AH270" s="72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  <c r="AX270" s="72"/>
      <c r="AY270" s="72"/>
      <c r="AZ270" s="72"/>
      <c r="BA270" s="72"/>
      <c r="BB270" s="72"/>
      <c r="BC270" s="72"/>
      <c r="BD270" s="72"/>
      <c r="BE270" s="72"/>
      <c r="BF270" s="72"/>
      <c r="BG270" s="72"/>
      <c r="BH270" s="72"/>
      <c r="BI270" s="72"/>
      <c r="BJ270" s="72"/>
      <c r="BK270" s="72"/>
      <c r="BL270" s="5"/>
      <c r="BM270" s="1"/>
      <c r="BN270" s="1"/>
      <c r="BO270" s="1"/>
      <c r="BP270" s="1"/>
      <c r="BQ270" s="1"/>
      <c r="BR270" s="1"/>
      <c r="BS270" s="1"/>
    </row>
    <row r="271" spans="1:71" ht="7.5" customHeight="1" x14ac:dyDescent="0.25">
      <c r="A271" s="6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5"/>
      <c r="BM271" s="1"/>
      <c r="BN271" s="1"/>
      <c r="BO271" s="1"/>
      <c r="BP271" s="1"/>
      <c r="BQ271" s="1"/>
      <c r="BR271" s="1"/>
      <c r="BS271" s="1"/>
    </row>
    <row r="272" spans="1:71" ht="7.5" customHeight="1" x14ac:dyDescent="0.25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5"/>
      <c r="BM272" s="1"/>
      <c r="BN272" s="1"/>
      <c r="BO272" s="1"/>
      <c r="BP272" s="1"/>
      <c r="BQ272" s="1"/>
      <c r="BR272" s="1"/>
      <c r="BS272" s="1"/>
    </row>
    <row r="273" spans="1:71" ht="7.5" customHeight="1" x14ac:dyDescent="0.25">
      <c r="A273" s="6"/>
      <c r="B273" s="245" t="s">
        <v>1323</v>
      </c>
      <c r="C273" s="246"/>
      <c r="D273" s="246"/>
      <c r="E273" s="246"/>
      <c r="F273" s="246"/>
      <c r="G273" s="246"/>
      <c r="H273" s="246"/>
      <c r="I273" s="246"/>
      <c r="J273" s="246"/>
      <c r="K273" s="246"/>
      <c r="L273" s="246"/>
      <c r="M273" s="246"/>
      <c r="N273" s="246"/>
      <c r="O273" s="246"/>
      <c r="P273" s="246"/>
      <c r="Q273" s="246"/>
      <c r="R273" s="246"/>
      <c r="S273" s="246"/>
      <c r="T273" s="246"/>
      <c r="U273" s="246"/>
      <c r="V273" s="246"/>
      <c r="W273" s="247"/>
      <c r="X273" s="219" t="s">
        <v>1304</v>
      </c>
      <c r="Y273" s="220"/>
      <c r="Z273" s="220"/>
      <c r="AA273" s="220"/>
      <c r="AB273" s="220"/>
      <c r="AC273" s="220"/>
      <c r="AD273" s="220"/>
      <c r="AE273" s="60"/>
      <c r="AF273" s="60"/>
      <c r="AG273" s="60"/>
      <c r="AH273" s="60"/>
      <c r="AI273" s="60"/>
      <c r="AJ273" s="60"/>
      <c r="AK273" s="60"/>
      <c r="AL273" s="60"/>
      <c r="AM273" s="60"/>
      <c r="AN273" s="60"/>
      <c r="AO273" s="60"/>
      <c r="AP273" s="60"/>
      <c r="AQ273" s="60"/>
      <c r="AR273" s="60"/>
      <c r="AS273" s="60"/>
      <c r="AT273" s="39"/>
      <c r="AU273" s="64"/>
      <c r="AV273" s="64"/>
      <c r="AW273" s="64"/>
      <c r="AX273" s="64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5"/>
      <c r="BM273" s="1"/>
      <c r="BN273" s="1"/>
      <c r="BO273" s="1"/>
      <c r="BP273" s="1"/>
      <c r="BQ273" s="1"/>
      <c r="BR273" s="1"/>
      <c r="BS273" s="1"/>
    </row>
    <row r="274" spans="1:71" ht="7.5" customHeight="1" x14ac:dyDescent="0.25">
      <c r="A274" s="6"/>
      <c r="B274" s="248"/>
      <c r="C274" s="249"/>
      <c r="D274" s="249"/>
      <c r="E274" s="249"/>
      <c r="F274" s="249"/>
      <c r="G274" s="249"/>
      <c r="H274" s="249"/>
      <c r="I274" s="249"/>
      <c r="J274" s="249"/>
      <c r="K274" s="249"/>
      <c r="L274" s="249"/>
      <c r="M274" s="249"/>
      <c r="N274" s="249"/>
      <c r="O274" s="249"/>
      <c r="P274" s="249"/>
      <c r="Q274" s="249"/>
      <c r="R274" s="249"/>
      <c r="S274" s="249"/>
      <c r="T274" s="249"/>
      <c r="U274" s="249"/>
      <c r="V274" s="249"/>
      <c r="W274" s="250"/>
      <c r="X274" s="99"/>
      <c r="Y274" s="100"/>
      <c r="Z274" s="100"/>
      <c r="AA274" s="100"/>
      <c r="AB274" s="100"/>
      <c r="AC274" s="100"/>
      <c r="AD274" s="100"/>
      <c r="AE274" s="1"/>
      <c r="AF274" s="332" t="s">
        <v>1280</v>
      </c>
      <c r="AG274" s="333"/>
      <c r="AH274" s="334" t="s">
        <v>1272</v>
      </c>
      <c r="AI274" s="273"/>
      <c r="AJ274" s="273"/>
      <c r="AK274" s="273"/>
      <c r="AL274" s="1"/>
      <c r="AM274" s="1"/>
      <c r="AN274" s="332"/>
      <c r="AO274" s="333"/>
      <c r="AP274" s="334" t="s">
        <v>1273</v>
      </c>
      <c r="AQ274" s="273"/>
      <c r="AR274" s="273"/>
      <c r="AS274" s="1"/>
      <c r="AT274" s="5"/>
      <c r="AU274" s="1"/>
      <c r="AV274" s="1"/>
      <c r="AW274" s="1"/>
      <c r="AX274" s="1"/>
      <c r="AY274" s="65"/>
      <c r="AZ274" s="65"/>
      <c r="BA274" s="65"/>
      <c r="BB274" s="65"/>
      <c r="BC274" s="65"/>
      <c r="BD274" s="65"/>
      <c r="BE274" s="65"/>
      <c r="BF274" s="65"/>
      <c r="BG274" s="65"/>
      <c r="BH274" s="65"/>
      <c r="BI274" s="65"/>
      <c r="BJ274" s="65"/>
      <c r="BK274" s="65"/>
      <c r="BL274" s="5"/>
      <c r="BM274" s="1"/>
      <c r="BN274" s="1"/>
      <c r="BO274" s="1"/>
      <c r="BP274" s="1"/>
      <c r="BQ274" s="1"/>
      <c r="BR274" s="1"/>
      <c r="BS274" s="1"/>
    </row>
    <row r="275" spans="1:71" ht="7.5" customHeight="1" x14ac:dyDescent="0.25">
      <c r="A275" s="6"/>
      <c r="B275" s="248"/>
      <c r="C275" s="249"/>
      <c r="D275" s="249"/>
      <c r="E275" s="249"/>
      <c r="F275" s="249"/>
      <c r="G275" s="249"/>
      <c r="H275" s="249"/>
      <c r="I275" s="249"/>
      <c r="J275" s="249"/>
      <c r="K275" s="249"/>
      <c r="L275" s="249"/>
      <c r="M275" s="249"/>
      <c r="N275" s="249"/>
      <c r="O275" s="249"/>
      <c r="P275" s="249"/>
      <c r="Q275" s="249"/>
      <c r="R275" s="249"/>
      <c r="S275" s="249"/>
      <c r="T275" s="249"/>
      <c r="U275" s="249"/>
      <c r="V275" s="249"/>
      <c r="W275" s="250"/>
      <c r="X275" s="99"/>
      <c r="Y275" s="100"/>
      <c r="Z275" s="100"/>
      <c r="AA275" s="100"/>
      <c r="AB275" s="100"/>
      <c r="AC275" s="100"/>
      <c r="AD275" s="100"/>
      <c r="AE275" s="1"/>
      <c r="AF275" s="336"/>
      <c r="AG275" s="337"/>
      <c r="AH275" s="334"/>
      <c r="AI275" s="273"/>
      <c r="AJ275" s="273"/>
      <c r="AK275" s="273"/>
      <c r="AL275" s="1"/>
      <c r="AM275" s="1"/>
      <c r="AN275" s="336"/>
      <c r="AO275" s="337"/>
      <c r="AP275" s="334"/>
      <c r="AQ275" s="273"/>
      <c r="AR275" s="273"/>
      <c r="AS275" s="1"/>
      <c r="AT275" s="5"/>
      <c r="AU275" s="1"/>
      <c r="AV275" s="1"/>
      <c r="AW275" s="1"/>
      <c r="AX275" s="1"/>
      <c r="AY275" s="66"/>
      <c r="AZ275" s="66"/>
      <c r="BA275" s="66"/>
      <c r="BB275" s="66"/>
      <c r="BC275" s="66"/>
      <c r="BD275" s="66"/>
      <c r="BE275" s="66"/>
      <c r="BF275" s="66"/>
      <c r="BG275" s="66"/>
      <c r="BH275" s="66"/>
      <c r="BI275" s="66"/>
      <c r="BJ275" s="66"/>
      <c r="BK275" s="66"/>
      <c r="BL275" s="5"/>
      <c r="BM275" s="1"/>
      <c r="BN275" s="1"/>
      <c r="BO275" s="1"/>
      <c r="BP275" s="1"/>
      <c r="BQ275" s="1"/>
      <c r="BR275" s="1"/>
      <c r="BS275" s="1"/>
    </row>
    <row r="276" spans="1:71" ht="7.5" customHeight="1" x14ac:dyDescent="0.25">
      <c r="A276" s="6"/>
      <c r="B276" s="248"/>
      <c r="C276" s="249"/>
      <c r="D276" s="249"/>
      <c r="E276" s="249"/>
      <c r="F276" s="249"/>
      <c r="G276" s="249"/>
      <c r="H276" s="249"/>
      <c r="I276" s="249"/>
      <c r="J276" s="249"/>
      <c r="K276" s="249"/>
      <c r="L276" s="249"/>
      <c r="M276" s="249"/>
      <c r="N276" s="249"/>
      <c r="O276" s="249"/>
      <c r="P276" s="249"/>
      <c r="Q276" s="249"/>
      <c r="R276" s="249"/>
      <c r="S276" s="249"/>
      <c r="T276" s="249"/>
      <c r="U276" s="249"/>
      <c r="V276" s="249"/>
      <c r="W276" s="250"/>
      <c r="X276" s="102"/>
      <c r="Y276" s="103"/>
      <c r="Z276" s="103"/>
      <c r="AA276" s="103"/>
      <c r="AB276" s="103"/>
      <c r="AC276" s="103"/>
      <c r="AD276" s="103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59"/>
      <c r="AU276" s="1"/>
      <c r="AV276" s="1"/>
      <c r="AW276" s="1"/>
      <c r="AX276" s="1"/>
      <c r="AY276" s="66"/>
      <c r="AZ276" s="66"/>
      <c r="BA276" s="66"/>
      <c r="BB276" s="66"/>
      <c r="BC276" s="66"/>
      <c r="BD276" s="66"/>
      <c r="BE276" s="66"/>
      <c r="BF276" s="66"/>
      <c r="BG276" s="66"/>
      <c r="BH276" s="66"/>
      <c r="BI276" s="66"/>
      <c r="BJ276" s="66"/>
      <c r="BK276" s="66"/>
      <c r="BL276" s="5"/>
      <c r="BM276" s="1"/>
      <c r="BN276" s="1"/>
      <c r="BO276" s="1"/>
      <c r="BP276" s="1"/>
      <c r="BQ276" s="1"/>
      <c r="BR276" s="1"/>
      <c r="BS276" s="1"/>
    </row>
    <row r="277" spans="1:71" ht="7.5" customHeight="1" x14ac:dyDescent="0.25">
      <c r="A277" s="6"/>
      <c r="B277" s="383" t="s">
        <v>1324</v>
      </c>
      <c r="C277" s="384"/>
      <c r="D277" s="384"/>
      <c r="E277" s="384"/>
      <c r="F277" s="384"/>
      <c r="G277" s="384"/>
      <c r="H277" s="384"/>
      <c r="I277" s="384"/>
      <c r="J277" s="384"/>
      <c r="K277" s="384"/>
      <c r="L277" s="384"/>
      <c r="M277" s="384"/>
      <c r="N277" s="384"/>
      <c r="O277" s="384"/>
      <c r="P277" s="384"/>
      <c r="Q277" s="384"/>
      <c r="R277" s="384"/>
      <c r="S277" s="384"/>
      <c r="T277" s="384"/>
      <c r="U277" s="384"/>
      <c r="V277" s="384"/>
      <c r="W277" s="384"/>
      <c r="X277" s="384"/>
      <c r="Y277" s="384"/>
      <c r="Z277" s="384"/>
      <c r="AA277" s="384"/>
      <c r="AB277" s="384"/>
      <c r="AC277" s="384"/>
      <c r="AD277" s="384"/>
      <c r="AE277" s="384"/>
      <c r="AF277" s="384"/>
      <c r="AG277" s="384"/>
      <c r="AH277" s="384"/>
      <c r="AI277" s="384"/>
      <c r="AJ277" s="384"/>
      <c r="AK277" s="384"/>
      <c r="AL277" s="384"/>
      <c r="AM277" s="387" t="s">
        <v>1325</v>
      </c>
      <c r="AN277" s="388"/>
      <c r="AO277" s="388"/>
      <c r="AP277" s="388"/>
      <c r="AQ277" s="388"/>
      <c r="AR277" s="388"/>
      <c r="AS277" s="388"/>
      <c r="AT277" s="388"/>
      <c r="AU277" s="388"/>
      <c r="AV277" s="389"/>
      <c r="AW277" s="402"/>
      <c r="AX277" s="403"/>
      <c r="AY277" s="403"/>
      <c r="AZ277" s="403"/>
      <c r="BA277" s="403"/>
      <c r="BB277" s="403"/>
      <c r="BC277" s="403"/>
      <c r="BD277" s="403"/>
      <c r="BE277" s="403"/>
      <c r="BF277" s="403"/>
      <c r="BG277" s="403"/>
      <c r="BH277" s="403"/>
      <c r="BI277" s="403"/>
      <c r="BJ277" s="403"/>
      <c r="BK277" s="404"/>
      <c r="BL277" s="5"/>
      <c r="BM277" s="1"/>
      <c r="BN277" s="1"/>
      <c r="BO277" s="1"/>
      <c r="BP277" s="1"/>
      <c r="BQ277" s="1"/>
      <c r="BR277" s="1"/>
      <c r="BS277" s="1"/>
    </row>
    <row r="278" spans="1:71" ht="7.5" customHeight="1" x14ac:dyDescent="0.25">
      <c r="A278" s="6"/>
      <c r="B278" s="385"/>
      <c r="C278" s="386"/>
      <c r="D278" s="386"/>
      <c r="E278" s="386"/>
      <c r="F278" s="386"/>
      <c r="G278" s="386"/>
      <c r="H278" s="386"/>
      <c r="I278" s="386"/>
      <c r="J278" s="386"/>
      <c r="K278" s="386"/>
      <c r="L278" s="386"/>
      <c r="M278" s="386"/>
      <c r="N278" s="386"/>
      <c r="O278" s="386"/>
      <c r="P278" s="386"/>
      <c r="Q278" s="386"/>
      <c r="R278" s="386"/>
      <c r="S278" s="386"/>
      <c r="T278" s="386"/>
      <c r="U278" s="386"/>
      <c r="V278" s="386"/>
      <c r="W278" s="386"/>
      <c r="X278" s="386"/>
      <c r="Y278" s="386"/>
      <c r="Z278" s="386"/>
      <c r="AA278" s="386"/>
      <c r="AB278" s="386"/>
      <c r="AC278" s="386"/>
      <c r="AD278" s="386"/>
      <c r="AE278" s="386"/>
      <c r="AF278" s="386"/>
      <c r="AG278" s="386"/>
      <c r="AH278" s="386"/>
      <c r="AI278" s="386"/>
      <c r="AJ278" s="386"/>
      <c r="AK278" s="386"/>
      <c r="AL278" s="386"/>
      <c r="AM278" s="390"/>
      <c r="AN278" s="391"/>
      <c r="AO278" s="391"/>
      <c r="AP278" s="391"/>
      <c r="AQ278" s="391"/>
      <c r="AR278" s="391"/>
      <c r="AS278" s="391"/>
      <c r="AT278" s="391"/>
      <c r="AU278" s="391"/>
      <c r="AV278" s="392"/>
      <c r="AW278" s="405"/>
      <c r="AX278" s="406"/>
      <c r="AY278" s="406"/>
      <c r="AZ278" s="406"/>
      <c r="BA278" s="406"/>
      <c r="BB278" s="406"/>
      <c r="BC278" s="406"/>
      <c r="BD278" s="406"/>
      <c r="BE278" s="406"/>
      <c r="BF278" s="406"/>
      <c r="BG278" s="406"/>
      <c r="BH278" s="406"/>
      <c r="BI278" s="406"/>
      <c r="BJ278" s="406"/>
      <c r="BK278" s="407"/>
      <c r="BL278" s="5"/>
      <c r="BM278" s="1"/>
      <c r="BN278" s="1"/>
      <c r="BO278" s="1"/>
      <c r="BP278" s="1"/>
      <c r="BQ278" s="1"/>
      <c r="BR278" s="1"/>
      <c r="BS278" s="1"/>
    </row>
    <row r="279" spans="1:71" ht="7.5" customHeight="1" x14ac:dyDescent="0.25">
      <c r="A279" s="6"/>
      <c r="B279" s="73"/>
      <c r="C279" s="74"/>
      <c r="D279" s="74"/>
      <c r="E279" s="74"/>
      <c r="F279" s="74"/>
      <c r="G279" s="386" t="s">
        <v>1326</v>
      </c>
      <c r="H279" s="386"/>
      <c r="I279" s="386"/>
      <c r="J279" s="386"/>
      <c r="K279" s="386"/>
      <c r="L279" s="386"/>
      <c r="M279" s="386"/>
      <c r="N279" s="386"/>
      <c r="O279" s="386"/>
      <c r="P279" s="386"/>
      <c r="Q279" s="386"/>
      <c r="R279" s="386"/>
      <c r="S279" s="386"/>
      <c r="T279" s="386"/>
      <c r="U279" s="386"/>
      <c r="V279" s="386"/>
      <c r="W279" s="386"/>
      <c r="X279" s="386"/>
      <c r="Y279" s="386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393" t="s">
        <v>1362</v>
      </c>
      <c r="AN279" s="394"/>
      <c r="AO279" s="394"/>
      <c r="AP279" s="394"/>
      <c r="AQ279" s="394"/>
      <c r="AR279" s="394"/>
      <c r="AS279" s="394"/>
      <c r="AT279" s="394"/>
      <c r="AU279" s="394"/>
      <c r="AV279" s="394"/>
      <c r="AW279" s="394"/>
      <c r="AX279" s="394"/>
      <c r="AY279" s="394"/>
      <c r="AZ279" s="394"/>
      <c r="BA279" s="394"/>
      <c r="BB279" s="394"/>
      <c r="BC279" s="394"/>
      <c r="BD279" s="394"/>
      <c r="BE279" s="394"/>
      <c r="BF279" s="394"/>
      <c r="BG279" s="394"/>
      <c r="BH279" s="394"/>
      <c r="BI279" s="394"/>
      <c r="BJ279" s="394"/>
      <c r="BK279" s="395"/>
      <c r="BL279" s="5"/>
      <c r="BM279" s="1"/>
      <c r="BN279" s="1"/>
      <c r="BO279" s="1"/>
      <c r="BP279" s="1"/>
      <c r="BQ279" s="1"/>
      <c r="BR279" s="1"/>
      <c r="BS279" s="1"/>
    </row>
    <row r="280" spans="1:71" ht="7.5" customHeight="1" x14ac:dyDescent="0.25">
      <c r="A280" s="6"/>
      <c r="B280" s="73"/>
      <c r="C280" s="74"/>
      <c r="D280" s="74"/>
      <c r="E280" s="74"/>
      <c r="F280" s="74"/>
      <c r="G280" s="386"/>
      <c r="H280" s="386"/>
      <c r="I280" s="386"/>
      <c r="J280" s="386"/>
      <c r="K280" s="386"/>
      <c r="L280" s="386"/>
      <c r="M280" s="386"/>
      <c r="N280" s="386"/>
      <c r="O280" s="386"/>
      <c r="P280" s="386"/>
      <c r="Q280" s="386"/>
      <c r="R280" s="386"/>
      <c r="S280" s="386"/>
      <c r="T280" s="386"/>
      <c r="U280" s="386"/>
      <c r="V280" s="386"/>
      <c r="W280" s="386"/>
      <c r="X280" s="386"/>
      <c r="Y280" s="386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396"/>
      <c r="AN280" s="397"/>
      <c r="AO280" s="397"/>
      <c r="AP280" s="397"/>
      <c r="AQ280" s="397"/>
      <c r="AR280" s="397"/>
      <c r="AS280" s="397"/>
      <c r="AT280" s="397"/>
      <c r="AU280" s="397"/>
      <c r="AV280" s="397"/>
      <c r="AW280" s="397"/>
      <c r="AX280" s="397"/>
      <c r="AY280" s="397"/>
      <c r="AZ280" s="397"/>
      <c r="BA280" s="397"/>
      <c r="BB280" s="397"/>
      <c r="BC280" s="397"/>
      <c r="BD280" s="397"/>
      <c r="BE280" s="397"/>
      <c r="BF280" s="397"/>
      <c r="BG280" s="397"/>
      <c r="BH280" s="397"/>
      <c r="BI280" s="397"/>
      <c r="BJ280" s="397"/>
      <c r="BK280" s="398"/>
      <c r="BL280" s="5"/>
      <c r="BM280" s="1"/>
      <c r="BN280" s="1"/>
      <c r="BO280" s="1"/>
      <c r="BP280" s="1"/>
      <c r="BQ280" s="1"/>
      <c r="BR280" s="1"/>
      <c r="BS280" s="1"/>
    </row>
    <row r="281" spans="1:71" ht="7.5" customHeight="1" x14ac:dyDescent="0.25">
      <c r="A281" s="6"/>
      <c r="B281" s="6"/>
      <c r="C281" s="1"/>
      <c r="D281" s="1"/>
      <c r="E281" s="1"/>
      <c r="F281" s="1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7"/>
      <c r="AA281" s="67"/>
      <c r="AB281" s="67"/>
      <c r="AC281" s="67"/>
      <c r="AD281" s="67"/>
      <c r="AE281" s="67"/>
      <c r="AF281" s="67"/>
      <c r="AG281" s="67"/>
      <c r="AH281" s="67"/>
      <c r="AI281" s="67"/>
      <c r="AJ281" s="67"/>
      <c r="AK281" s="67"/>
      <c r="AL281" s="67"/>
      <c r="AM281" s="396"/>
      <c r="AN281" s="397"/>
      <c r="AO281" s="397"/>
      <c r="AP281" s="397"/>
      <c r="AQ281" s="397"/>
      <c r="AR281" s="397"/>
      <c r="AS281" s="397"/>
      <c r="AT281" s="397"/>
      <c r="AU281" s="397"/>
      <c r="AV281" s="397"/>
      <c r="AW281" s="397"/>
      <c r="AX281" s="397"/>
      <c r="AY281" s="397"/>
      <c r="AZ281" s="397"/>
      <c r="BA281" s="397"/>
      <c r="BB281" s="397"/>
      <c r="BC281" s="397"/>
      <c r="BD281" s="397"/>
      <c r="BE281" s="397"/>
      <c r="BF281" s="397"/>
      <c r="BG281" s="397"/>
      <c r="BH281" s="397"/>
      <c r="BI281" s="397"/>
      <c r="BJ281" s="397"/>
      <c r="BK281" s="398"/>
      <c r="BL281" s="5"/>
      <c r="BM281" s="47" t="s">
        <v>1327</v>
      </c>
      <c r="BN281" s="1"/>
      <c r="BO281" s="1"/>
      <c r="BP281" s="1"/>
      <c r="BQ281" s="1"/>
      <c r="BR281" s="1"/>
      <c r="BS281" s="1"/>
    </row>
    <row r="282" spans="1:71" ht="7.5" customHeight="1" x14ac:dyDescent="0.25">
      <c r="A282" s="6"/>
      <c r="B282" s="6"/>
      <c r="C282" s="1"/>
      <c r="D282" s="1"/>
      <c r="E282" s="1"/>
      <c r="F282" s="1"/>
      <c r="G282" s="1"/>
      <c r="H282" s="1"/>
      <c r="I282" s="49"/>
      <c r="J282" s="49"/>
      <c r="K282" s="49"/>
      <c r="L282" s="49"/>
      <c r="M282" s="49"/>
      <c r="N282" s="49"/>
      <c r="O282" s="49"/>
      <c r="P282" s="321" t="s">
        <v>1328</v>
      </c>
      <c r="Q282" s="321"/>
      <c r="R282" s="321"/>
      <c r="S282" s="321"/>
      <c r="T282" s="49"/>
      <c r="U282" s="49"/>
      <c r="V282" s="49"/>
      <c r="W282" s="321" t="s">
        <v>1329</v>
      </c>
      <c r="X282" s="321"/>
      <c r="Y282" s="321"/>
      <c r="Z282" s="321"/>
      <c r="AA282" s="321"/>
      <c r="AB282" s="321"/>
      <c r="AC282" s="67"/>
      <c r="AD282" s="67"/>
      <c r="AE282" s="67"/>
      <c r="AF282" s="321" t="s">
        <v>1330</v>
      </c>
      <c r="AG282" s="321"/>
      <c r="AH282" s="321"/>
      <c r="AI282" s="321"/>
      <c r="AJ282" s="321"/>
      <c r="AK282" s="67"/>
      <c r="AL282" s="67"/>
      <c r="AM282" s="396"/>
      <c r="AN282" s="397"/>
      <c r="AO282" s="397"/>
      <c r="AP282" s="397"/>
      <c r="AQ282" s="397"/>
      <c r="AR282" s="397"/>
      <c r="AS282" s="397"/>
      <c r="AT282" s="397"/>
      <c r="AU282" s="397"/>
      <c r="AV282" s="397"/>
      <c r="AW282" s="397"/>
      <c r="AX282" s="397"/>
      <c r="AY282" s="397"/>
      <c r="AZ282" s="397"/>
      <c r="BA282" s="397"/>
      <c r="BB282" s="397"/>
      <c r="BC282" s="397"/>
      <c r="BD282" s="397"/>
      <c r="BE282" s="397"/>
      <c r="BF282" s="397"/>
      <c r="BG282" s="397"/>
      <c r="BH282" s="397"/>
      <c r="BI282" s="397"/>
      <c r="BJ282" s="397"/>
      <c r="BK282" s="398"/>
      <c r="BL282" s="5"/>
      <c r="BM282" s="47" t="s">
        <v>1327</v>
      </c>
      <c r="BN282" s="1"/>
      <c r="BO282" s="1"/>
      <c r="BP282" s="1"/>
      <c r="BQ282" s="1"/>
      <c r="BR282" s="1"/>
      <c r="BS282" s="1"/>
    </row>
    <row r="283" spans="1:71" ht="7.5" customHeight="1" x14ac:dyDescent="0.25">
      <c r="A283" s="6"/>
      <c r="B283" s="6"/>
      <c r="C283" s="1"/>
      <c r="D283" s="1"/>
      <c r="E283" s="1"/>
      <c r="F283" s="1"/>
      <c r="G283" s="1"/>
      <c r="H283" s="1"/>
      <c r="I283" s="49"/>
      <c r="J283" s="49"/>
      <c r="K283" s="49"/>
      <c r="L283" s="49"/>
      <c r="M283" s="49"/>
      <c r="N283" s="49"/>
      <c r="O283" s="51" t="str">
        <f>IF(BM281="F","x"," ")</f>
        <v xml:space="preserve"> </v>
      </c>
      <c r="P283" s="321"/>
      <c r="Q283" s="321"/>
      <c r="R283" s="321"/>
      <c r="S283" s="321"/>
      <c r="T283" s="49"/>
      <c r="U283" s="49"/>
      <c r="V283" s="75" t="str">
        <f>IF(BM281="M","X"," ")</f>
        <v>X</v>
      </c>
      <c r="W283" s="321"/>
      <c r="X283" s="321"/>
      <c r="Y283" s="321"/>
      <c r="Z283" s="321"/>
      <c r="AA283" s="321"/>
      <c r="AB283" s="321"/>
      <c r="AC283" s="49"/>
      <c r="AD283" s="49"/>
      <c r="AE283" s="51" t="str">
        <f>IF(BM281="C","x"," ")</f>
        <v xml:space="preserve"> </v>
      </c>
      <c r="AF283" s="321"/>
      <c r="AG283" s="321"/>
      <c r="AH283" s="321"/>
      <c r="AI283" s="321"/>
      <c r="AJ283" s="321"/>
      <c r="AK283" s="49"/>
      <c r="AL283" s="49"/>
      <c r="AM283" s="396"/>
      <c r="AN283" s="397"/>
      <c r="AO283" s="397"/>
      <c r="AP283" s="397"/>
      <c r="AQ283" s="397"/>
      <c r="AR283" s="397"/>
      <c r="AS283" s="397"/>
      <c r="AT283" s="397"/>
      <c r="AU283" s="397"/>
      <c r="AV283" s="397"/>
      <c r="AW283" s="397"/>
      <c r="AX283" s="397"/>
      <c r="AY283" s="397"/>
      <c r="AZ283" s="397"/>
      <c r="BA283" s="397"/>
      <c r="BB283" s="397"/>
      <c r="BC283" s="397"/>
      <c r="BD283" s="397"/>
      <c r="BE283" s="397"/>
      <c r="BF283" s="397"/>
      <c r="BG283" s="397"/>
      <c r="BH283" s="397"/>
      <c r="BI283" s="397"/>
      <c r="BJ283" s="397"/>
      <c r="BK283" s="398"/>
      <c r="BL283" s="5"/>
      <c r="BM283" s="47" t="s">
        <v>1327</v>
      </c>
      <c r="BN283" s="1"/>
      <c r="BO283" s="1"/>
      <c r="BP283" s="1"/>
      <c r="BQ283" s="1"/>
      <c r="BR283" s="1"/>
      <c r="BS283" s="1"/>
    </row>
    <row r="284" spans="1:71" ht="7.5" customHeight="1" x14ac:dyDescent="0.25">
      <c r="A284" s="6"/>
      <c r="B284" s="58"/>
      <c r="C284" s="25"/>
      <c r="D284" s="25"/>
      <c r="E284" s="25"/>
      <c r="F284" s="25"/>
      <c r="G284" s="25"/>
      <c r="H284" s="25"/>
      <c r="I284" s="53"/>
      <c r="J284" s="53"/>
      <c r="K284" s="53"/>
      <c r="L284" s="53"/>
      <c r="M284" s="53"/>
      <c r="N284" s="53"/>
      <c r="O284" s="53"/>
      <c r="P284" s="322"/>
      <c r="Q284" s="322"/>
      <c r="R284" s="322"/>
      <c r="S284" s="322"/>
      <c r="T284" s="53"/>
      <c r="U284" s="53"/>
      <c r="V284" s="53"/>
      <c r="W284" s="322"/>
      <c r="X284" s="322"/>
      <c r="Y284" s="322"/>
      <c r="Z284" s="322"/>
      <c r="AA284" s="322"/>
      <c r="AB284" s="322"/>
      <c r="AC284" s="53"/>
      <c r="AD284" s="53"/>
      <c r="AE284" s="53"/>
      <c r="AF284" s="322"/>
      <c r="AG284" s="322"/>
      <c r="AH284" s="322"/>
      <c r="AI284" s="322"/>
      <c r="AJ284" s="322"/>
      <c r="AK284" s="53"/>
      <c r="AL284" s="53"/>
      <c r="AM284" s="399"/>
      <c r="AN284" s="400"/>
      <c r="AO284" s="400"/>
      <c r="AP284" s="400"/>
      <c r="AQ284" s="400"/>
      <c r="AR284" s="400"/>
      <c r="AS284" s="400"/>
      <c r="AT284" s="400"/>
      <c r="AU284" s="400"/>
      <c r="AV284" s="400"/>
      <c r="AW284" s="400"/>
      <c r="AX284" s="400"/>
      <c r="AY284" s="400"/>
      <c r="AZ284" s="400"/>
      <c r="BA284" s="400"/>
      <c r="BB284" s="400"/>
      <c r="BC284" s="400"/>
      <c r="BD284" s="400"/>
      <c r="BE284" s="400"/>
      <c r="BF284" s="400"/>
      <c r="BG284" s="400"/>
      <c r="BH284" s="400"/>
      <c r="BI284" s="400"/>
      <c r="BJ284" s="400"/>
      <c r="BK284" s="401"/>
      <c r="BL284" s="5"/>
      <c r="BM284" s="47" t="s">
        <v>1327</v>
      </c>
      <c r="BN284" s="1"/>
      <c r="BO284" s="1"/>
      <c r="BP284" s="1"/>
      <c r="BQ284" s="1"/>
      <c r="BR284" s="1"/>
      <c r="BS284" s="1"/>
    </row>
    <row r="285" spans="1:71" ht="7.5" customHeight="1" x14ac:dyDescent="0.25">
      <c r="A285" s="6"/>
      <c r="B285" s="380" t="s">
        <v>1331</v>
      </c>
      <c r="C285" s="381"/>
      <c r="D285" s="381"/>
      <c r="E285" s="381"/>
      <c r="F285" s="381"/>
      <c r="G285" s="381"/>
      <c r="H285" s="381"/>
      <c r="I285" s="381"/>
      <c r="J285" s="381"/>
      <c r="K285" s="381"/>
      <c r="L285" s="381"/>
      <c r="M285" s="381"/>
      <c r="N285" s="381"/>
      <c r="O285" s="381"/>
      <c r="P285" s="381"/>
      <c r="Q285" s="381"/>
      <c r="R285" s="381"/>
      <c r="S285" s="381"/>
      <c r="T285" s="381"/>
      <c r="U285" s="381"/>
      <c r="V285" s="381"/>
      <c r="W285" s="381"/>
      <c r="X285" s="381"/>
      <c r="Y285" s="381"/>
      <c r="Z285" s="381"/>
      <c r="AA285" s="381"/>
      <c r="AB285" s="381"/>
      <c r="AC285" s="381"/>
      <c r="AD285" s="381"/>
      <c r="AE285" s="381"/>
      <c r="AF285" s="381"/>
      <c r="AG285" s="381"/>
      <c r="AH285" s="381"/>
      <c r="AI285" s="381"/>
      <c r="AJ285" s="381"/>
      <c r="AK285" s="381"/>
      <c r="AL285" s="381"/>
      <c r="AM285" s="381"/>
      <c r="AN285" s="381"/>
      <c r="AO285" s="381"/>
      <c r="AP285" s="381"/>
      <c r="AQ285" s="381"/>
      <c r="AR285" s="381"/>
      <c r="AS285" s="381"/>
      <c r="AT285" s="381"/>
      <c r="AU285" s="381"/>
      <c r="AV285" s="381"/>
      <c r="AW285" s="381"/>
      <c r="AX285" s="381"/>
      <c r="AY285" s="381"/>
      <c r="AZ285" s="381"/>
      <c r="BA285" s="381"/>
      <c r="BB285" s="381"/>
      <c r="BC285" s="381"/>
      <c r="BD285" s="381"/>
      <c r="BE285" s="381"/>
      <c r="BF285" s="381"/>
      <c r="BG285" s="381"/>
      <c r="BH285" s="381"/>
      <c r="BI285" s="381"/>
      <c r="BJ285" s="381"/>
      <c r="BK285" s="382"/>
      <c r="BL285" s="5"/>
      <c r="BM285" s="1"/>
      <c r="BN285" s="1"/>
      <c r="BO285" s="1"/>
      <c r="BP285" s="1"/>
      <c r="BQ285" s="1"/>
      <c r="BR285" s="1"/>
      <c r="BS285" s="1"/>
    </row>
    <row r="286" spans="1:71" ht="7.5" customHeight="1" x14ac:dyDescent="0.25">
      <c r="A286" s="6"/>
      <c r="B286" s="371"/>
      <c r="C286" s="372"/>
      <c r="D286" s="372"/>
      <c r="E286" s="372"/>
      <c r="F286" s="372"/>
      <c r="G286" s="372"/>
      <c r="H286" s="372"/>
      <c r="I286" s="372"/>
      <c r="J286" s="372"/>
      <c r="K286" s="372"/>
      <c r="L286" s="372"/>
      <c r="M286" s="372"/>
      <c r="N286" s="372"/>
      <c r="O286" s="372"/>
      <c r="P286" s="372"/>
      <c r="Q286" s="372"/>
      <c r="R286" s="372"/>
      <c r="S286" s="372"/>
      <c r="T286" s="372"/>
      <c r="U286" s="372"/>
      <c r="V286" s="372"/>
      <c r="W286" s="372"/>
      <c r="X286" s="372"/>
      <c r="Y286" s="372"/>
      <c r="Z286" s="372"/>
      <c r="AA286" s="372"/>
      <c r="AB286" s="372"/>
      <c r="AC286" s="372"/>
      <c r="AD286" s="372"/>
      <c r="AE286" s="372"/>
      <c r="AF286" s="372"/>
      <c r="AG286" s="372"/>
      <c r="AH286" s="372"/>
      <c r="AI286" s="372"/>
      <c r="AJ286" s="372"/>
      <c r="AK286" s="372"/>
      <c r="AL286" s="372"/>
      <c r="AM286" s="372"/>
      <c r="AN286" s="372"/>
      <c r="AO286" s="372"/>
      <c r="AP286" s="372"/>
      <c r="AQ286" s="372"/>
      <c r="AR286" s="372"/>
      <c r="AS286" s="372"/>
      <c r="AT286" s="372"/>
      <c r="AU286" s="372"/>
      <c r="AV286" s="372"/>
      <c r="AW286" s="372"/>
      <c r="AX286" s="372"/>
      <c r="AY286" s="372"/>
      <c r="AZ286" s="372"/>
      <c r="BA286" s="372"/>
      <c r="BB286" s="372"/>
      <c r="BC286" s="372"/>
      <c r="BD286" s="372"/>
      <c r="BE286" s="372"/>
      <c r="BF286" s="372"/>
      <c r="BG286" s="372"/>
      <c r="BH286" s="372"/>
      <c r="BI286" s="372"/>
      <c r="BJ286" s="372"/>
      <c r="BK286" s="373"/>
      <c r="BL286" s="5"/>
      <c r="BM286" s="1"/>
      <c r="BN286" s="1"/>
      <c r="BO286" s="1"/>
      <c r="BP286" s="1"/>
      <c r="BQ286" s="1"/>
      <c r="BR286" s="1"/>
      <c r="BS286" s="1"/>
    </row>
    <row r="287" spans="1:71" ht="7.5" customHeight="1" x14ac:dyDescent="0.25">
      <c r="A287" s="6"/>
      <c r="B287" s="6"/>
      <c r="C287" s="1"/>
      <c r="D287" s="1"/>
      <c r="E287" s="1"/>
      <c r="F287" s="1"/>
      <c r="G287" s="1"/>
      <c r="H287" s="1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7"/>
      <c r="Z287" s="67"/>
      <c r="AA287" s="67"/>
      <c r="AB287" s="67"/>
      <c r="AC287" s="67"/>
      <c r="AD287" s="67"/>
      <c r="AE287" s="67"/>
      <c r="AF287" s="67"/>
      <c r="AG287" s="67"/>
      <c r="AH287" s="67"/>
      <c r="AI287" s="67"/>
      <c r="AJ287" s="67"/>
      <c r="AK287" s="67"/>
      <c r="AL287" s="67"/>
      <c r="AM287" s="201" t="s">
        <v>1362</v>
      </c>
      <c r="AN287" s="201"/>
      <c r="AO287" s="201"/>
      <c r="AP287" s="201"/>
      <c r="AQ287" s="201"/>
      <c r="AR287" s="201"/>
      <c r="AS287" s="201"/>
      <c r="AT287" s="201"/>
      <c r="AU287" s="201"/>
      <c r="AV287" s="201"/>
      <c r="AW287" s="201"/>
      <c r="AX287" s="201"/>
      <c r="AY287" s="201"/>
      <c r="AZ287" s="201"/>
      <c r="BA287" s="201"/>
      <c r="BB287" s="201"/>
      <c r="BC287" s="376"/>
      <c r="BD287" s="376"/>
      <c r="BE287" s="376"/>
      <c r="BF287" s="376"/>
      <c r="BG287" s="376"/>
      <c r="BH287" s="376"/>
      <c r="BI287" s="376"/>
      <c r="BJ287" s="376"/>
      <c r="BK287" s="377"/>
      <c r="BL287" s="5"/>
      <c r="BM287" s="47" t="s">
        <v>1217</v>
      </c>
      <c r="BN287" s="1"/>
      <c r="BO287" s="1"/>
      <c r="BP287" s="1"/>
      <c r="BQ287" s="1"/>
      <c r="BR287" s="1"/>
      <c r="BS287" s="1"/>
    </row>
    <row r="288" spans="1:71" ht="7.5" customHeight="1" x14ac:dyDescent="0.25">
      <c r="A288" s="6"/>
      <c r="B288" s="6"/>
      <c r="C288" s="1"/>
      <c r="D288" s="1"/>
      <c r="E288" s="1"/>
      <c r="F288" s="1"/>
      <c r="G288" s="1"/>
      <c r="H288" s="1"/>
      <c r="I288" s="49"/>
      <c r="J288" s="49"/>
      <c r="K288" s="49"/>
      <c r="L288" s="49"/>
      <c r="M288" s="49"/>
      <c r="N288" s="49"/>
      <c r="O288" s="49"/>
      <c r="P288" s="321" t="s">
        <v>1328</v>
      </c>
      <c r="Q288" s="321"/>
      <c r="R288" s="321"/>
      <c r="S288" s="321"/>
      <c r="T288" s="49"/>
      <c r="U288" s="49"/>
      <c r="V288" s="49"/>
      <c r="W288" s="321" t="s">
        <v>1329</v>
      </c>
      <c r="X288" s="321"/>
      <c r="Y288" s="321"/>
      <c r="Z288" s="321"/>
      <c r="AA288" s="321"/>
      <c r="AB288" s="321"/>
      <c r="AC288" s="67"/>
      <c r="AD288" s="67"/>
      <c r="AE288" s="67"/>
      <c r="AF288" s="321" t="s">
        <v>1330</v>
      </c>
      <c r="AG288" s="321"/>
      <c r="AH288" s="321"/>
      <c r="AI288" s="321"/>
      <c r="AJ288" s="321"/>
      <c r="AK288" s="67"/>
      <c r="AL288" s="67"/>
      <c r="AM288" s="201"/>
      <c r="AN288" s="201"/>
      <c r="AO288" s="201"/>
      <c r="AP288" s="201"/>
      <c r="AQ288" s="201"/>
      <c r="AR288" s="201"/>
      <c r="AS288" s="201"/>
      <c r="AT288" s="201"/>
      <c r="AU288" s="201"/>
      <c r="AV288" s="201"/>
      <c r="AW288" s="201"/>
      <c r="AX288" s="201"/>
      <c r="AY288" s="201"/>
      <c r="AZ288" s="201"/>
      <c r="BA288" s="201"/>
      <c r="BB288" s="201"/>
      <c r="BC288" s="376"/>
      <c r="BD288" s="376"/>
      <c r="BE288" s="376"/>
      <c r="BF288" s="376"/>
      <c r="BG288" s="376"/>
      <c r="BH288" s="376"/>
      <c r="BI288" s="376"/>
      <c r="BJ288" s="376"/>
      <c r="BK288" s="377"/>
      <c r="BL288" s="5"/>
      <c r="BM288" s="47" t="s">
        <v>1217</v>
      </c>
      <c r="BN288" s="1"/>
      <c r="BO288" s="1"/>
      <c r="BP288" s="1"/>
      <c r="BQ288" s="1"/>
      <c r="BR288" s="1"/>
      <c r="BS288" s="1"/>
    </row>
    <row r="289" spans="1:71" ht="7.5" customHeight="1" x14ac:dyDescent="0.25">
      <c r="A289" s="6"/>
      <c r="B289" s="6"/>
      <c r="C289" s="1"/>
      <c r="D289" s="1"/>
      <c r="E289" s="1"/>
      <c r="F289" s="1"/>
      <c r="G289" s="1"/>
      <c r="H289" s="1"/>
      <c r="I289" s="49"/>
      <c r="J289" s="49"/>
      <c r="K289" s="49"/>
      <c r="L289" s="49"/>
      <c r="M289" s="49"/>
      <c r="N289" s="49"/>
      <c r="O289" s="51" t="str">
        <f>IF(BM287="F","X"," ")</f>
        <v xml:space="preserve"> </v>
      </c>
      <c r="P289" s="321"/>
      <c r="Q289" s="321"/>
      <c r="R289" s="321"/>
      <c r="S289" s="321"/>
      <c r="T289" s="49"/>
      <c r="U289" s="49"/>
      <c r="V289" s="76" t="str">
        <f>IF(BM287="M","X"," ")</f>
        <v xml:space="preserve"> </v>
      </c>
      <c r="W289" s="321"/>
      <c r="X289" s="321"/>
      <c r="Y289" s="321"/>
      <c r="Z289" s="321"/>
      <c r="AA289" s="321"/>
      <c r="AB289" s="321"/>
      <c r="AC289" s="49"/>
      <c r="AD289" s="49"/>
      <c r="AE289" s="51" t="str">
        <f>IF(BM287="C","X"," ")</f>
        <v xml:space="preserve"> </v>
      </c>
      <c r="AF289" s="321"/>
      <c r="AG289" s="321"/>
      <c r="AH289" s="321"/>
      <c r="AI289" s="321"/>
      <c r="AJ289" s="321"/>
      <c r="AK289" s="49"/>
      <c r="AL289" s="49"/>
      <c r="AM289" s="201"/>
      <c r="AN289" s="201"/>
      <c r="AO289" s="201"/>
      <c r="AP289" s="201"/>
      <c r="AQ289" s="201"/>
      <c r="AR289" s="201"/>
      <c r="AS289" s="201"/>
      <c r="AT289" s="201"/>
      <c r="AU289" s="201"/>
      <c r="AV289" s="201"/>
      <c r="AW289" s="201"/>
      <c r="AX289" s="201"/>
      <c r="AY289" s="201"/>
      <c r="AZ289" s="201"/>
      <c r="BA289" s="201"/>
      <c r="BB289" s="201"/>
      <c r="BC289" s="376"/>
      <c r="BD289" s="376"/>
      <c r="BE289" s="376"/>
      <c r="BF289" s="376"/>
      <c r="BG289" s="376"/>
      <c r="BH289" s="376"/>
      <c r="BI289" s="376"/>
      <c r="BJ289" s="376"/>
      <c r="BK289" s="377"/>
      <c r="BL289" s="5"/>
      <c r="BM289" s="47" t="s">
        <v>1217</v>
      </c>
      <c r="BN289" s="1"/>
      <c r="BO289" s="1"/>
      <c r="BP289" s="1"/>
      <c r="BQ289" s="1"/>
      <c r="BR289" s="1"/>
      <c r="BS289" s="1"/>
    </row>
    <row r="290" spans="1:71" ht="7.5" customHeight="1" x14ac:dyDescent="0.25">
      <c r="A290" s="6"/>
      <c r="B290" s="58"/>
      <c r="C290" s="25"/>
      <c r="D290" s="25"/>
      <c r="E290" s="25"/>
      <c r="F290" s="25"/>
      <c r="G290" s="25"/>
      <c r="H290" s="25"/>
      <c r="I290" s="53"/>
      <c r="J290" s="53"/>
      <c r="K290" s="53"/>
      <c r="L290" s="53"/>
      <c r="M290" s="53"/>
      <c r="N290" s="53"/>
      <c r="O290" s="53"/>
      <c r="P290" s="322"/>
      <c r="Q290" s="322"/>
      <c r="R290" s="322"/>
      <c r="S290" s="322"/>
      <c r="T290" s="53"/>
      <c r="U290" s="53"/>
      <c r="V290" s="53"/>
      <c r="W290" s="322"/>
      <c r="X290" s="322"/>
      <c r="Y290" s="322"/>
      <c r="Z290" s="322"/>
      <c r="AA290" s="322"/>
      <c r="AB290" s="322"/>
      <c r="AC290" s="53"/>
      <c r="AD290" s="53"/>
      <c r="AE290" s="53"/>
      <c r="AF290" s="322"/>
      <c r="AG290" s="322"/>
      <c r="AH290" s="322"/>
      <c r="AI290" s="322"/>
      <c r="AJ290" s="322"/>
      <c r="AK290" s="53"/>
      <c r="AL290" s="53"/>
      <c r="AM290" s="204"/>
      <c r="AN290" s="204"/>
      <c r="AO290" s="204"/>
      <c r="AP290" s="204"/>
      <c r="AQ290" s="204"/>
      <c r="AR290" s="204"/>
      <c r="AS290" s="204"/>
      <c r="AT290" s="204"/>
      <c r="AU290" s="204"/>
      <c r="AV290" s="204"/>
      <c r="AW290" s="204"/>
      <c r="AX290" s="204"/>
      <c r="AY290" s="204"/>
      <c r="AZ290" s="204"/>
      <c r="BA290" s="204"/>
      <c r="BB290" s="204"/>
      <c r="BC290" s="378"/>
      <c r="BD290" s="378"/>
      <c r="BE290" s="378"/>
      <c r="BF290" s="378"/>
      <c r="BG290" s="378"/>
      <c r="BH290" s="378"/>
      <c r="BI290" s="378"/>
      <c r="BJ290" s="378"/>
      <c r="BK290" s="379"/>
      <c r="BL290" s="5"/>
      <c r="BM290" s="47" t="s">
        <v>1217</v>
      </c>
      <c r="BN290" s="1"/>
      <c r="BO290" s="1"/>
      <c r="BP290" s="1"/>
      <c r="BQ290" s="1"/>
      <c r="BR290" s="1"/>
      <c r="BS290" s="1"/>
    </row>
    <row r="291" spans="1:71" ht="7.5" customHeight="1" x14ac:dyDescent="0.25">
      <c r="A291" s="6"/>
      <c r="B291" s="1"/>
      <c r="C291" s="1"/>
      <c r="D291" s="1"/>
      <c r="E291" s="1"/>
      <c r="F291" s="1"/>
      <c r="G291" s="1"/>
      <c r="H291" s="1"/>
      <c r="I291" s="49"/>
      <c r="J291" s="49"/>
      <c r="K291" s="49"/>
      <c r="L291" s="49"/>
      <c r="M291" s="49"/>
      <c r="N291" s="49"/>
      <c r="O291" s="49"/>
      <c r="P291" s="77"/>
      <c r="Q291" s="77"/>
      <c r="R291" s="77"/>
      <c r="S291" s="77"/>
      <c r="T291" s="49"/>
      <c r="U291" s="49"/>
      <c r="V291" s="49"/>
      <c r="W291" s="77"/>
      <c r="X291" s="77"/>
      <c r="Y291" s="77"/>
      <c r="Z291" s="77"/>
      <c r="AA291" s="77"/>
      <c r="AB291" s="77"/>
      <c r="AC291" s="49"/>
      <c r="AD291" s="49"/>
      <c r="AE291" s="49"/>
      <c r="AF291" s="77"/>
      <c r="AG291" s="77"/>
      <c r="AH291" s="77"/>
      <c r="AI291" s="77"/>
      <c r="AJ291" s="77"/>
      <c r="AK291" s="49"/>
      <c r="AL291" s="49"/>
      <c r="AM291" s="49"/>
      <c r="AN291" s="49"/>
      <c r="AO291" s="49"/>
      <c r="AP291" s="49"/>
      <c r="AQ291" s="49"/>
      <c r="AR291" s="49"/>
      <c r="AS291" s="49"/>
      <c r="AT291" s="49"/>
      <c r="AU291" s="49"/>
      <c r="AV291" s="49"/>
      <c r="AW291" s="49"/>
      <c r="AX291" s="49"/>
      <c r="AY291" s="49"/>
      <c r="AZ291" s="49"/>
      <c r="BA291" s="49"/>
      <c r="BB291" s="49"/>
      <c r="BC291" s="49"/>
      <c r="BD291" s="49"/>
      <c r="BE291" s="49"/>
      <c r="BF291" s="49"/>
      <c r="BG291" s="49"/>
      <c r="BH291" s="49"/>
      <c r="BI291" s="49"/>
      <c r="BJ291" s="49"/>
      <c r="BK291" s="49"/>
      <c r="BL291" s="5"/>
      <c r="BM291" s="1"/>
      <c r="BN291" s="1"/>
      <c r="BO291" s="1"/>
      <c r="BP291" s="1"/>
      <c r="BQ291" s="1"/>
      <c r="BR291" s="1"/>
      <c r="BS291" s="1"/>
    </row>
    <row r="292" spans="1:71" ht="7.5" customHeight="1" x14ac:dyDescent="0.25">
      <c r="A292" s="6"/>
      <c r="B292" s="1"/>
      <c r="C292" s="1"/>
      <c r="D292" s="1"/>
      <c r="E292" s="1"/>
      <c r="F292" s="1"/>
      <c r="G292" s="1"/>
      <c r="H292" s="1"/>
      <c r="I292" s="49"/>
      <c r="J292" s="49"/>
      <c r="K292" s="49"/>
      <c r="L292" s="49"/>
      <c r="M292" s="49"/>
      <c r="N292" s="49"/>
      <c r="O292" s="49"/>
      <c r="P292" s="77"/>
      <c r="Q292" s="77"/>
      <c r="R292" s="77"/>
      <c r="S292" s="77"/>
      <c r="T292" s="49"/>
      <c r="U292" s="49"/>
      <c r="V292" s="49"/>
      <c r="W292" s="77"/>
      <c r="X292" s="77"/>
      <c r="Y292" s="77"/>
      <c r="Z292" s="77"/>
      <c r="AA292" s="77"/>
      <c r="AB292" s="77"/>
      <c r="AC292" s="49"/>
      <c r="AD292" s="49"/>
      <c r="AE292" s="49"/>
      <c r="AF292" s="77"/>
      <c r="AG292" s="77"/>
      <c r="AH292" s="77"/>
      <c r="AI292" s="77"/>
      <c r="AJ292" s="77"/>
      <c r="AK292" s="49"/>
      <c r="AL292" s="49"/>
      <c r="AM292" s="49"/>
      <c r="AN292" s="49"/>
      <c r="AO292" s="49"/>
      <c r="AP292" s="49"/>
      <c r="AQ292" s="49"/>
      <c r="AR292" s="49"/>
      <c r="AS292" s="49"/>
      <c r="AT292" s="49"/>
      <c r="AU292" s="49"/>
      <c r="AV292" s="49"/>
      <c r="AW292" s="49"/>
      <c r="AX292" s="49"/>
      <c r="AY292" s="49"/>
      <c r="AZ292" s="49"/>
      <c r="BA292" s="49"/>
      <c r="BB292" s="49"/>
      <c r="BC292" s="49"/>
      <c r="BD292" s="49"/>
      <c r="BE292" s="49"/>
      <c r="BF292" s="49"/>
      <c r="BG292" s="49"/>
      <c r="BH292" s="49"/>
      <c r="BI292" s="49"/>
      <c r="BJ292" s="49"/>
      <c r="BK292" s="49"/>
      <c r="BL292" s="5"/>
      <c r="BM292" s="1"/>
      <c r="BN292" s="1"/>
      <c r="BO292" s="1"/>
      <c r="BP292" s="1"/>
      <c r="BQ292" s="1"/>
      <c r="BR292" s="1"/>
      <c r="BS292" s="1"/>
    </row>
    <row r="293" spans="1:71" ht="7.5" customHeight="1" x14ac:dyDescent="0.25">
      <c r="A293" s="6"/>
      <c r="B293" s="1"/>
      <c r="C293" s="1"/>
      <c r="D293" s="1"/>
      <c r="E293" s="1"/>
      <c r="F293" s="1"/>
      <c r="G293" s="1"/>
      <c r="H293" s="1"/>
      <c r="I293" s="49"/>
      <c r="J293" s="49"/>
      <c r="K293" s="49"/>
      <c r="L293" s="49"/>
      <c r="M293" s="49"/>
      <c r="N293" s="49"/>
      <c r="O293" s="49"/>
      <c r="P293" s="77"/>
      <c r="Q293" s="77"/>
      <c r="R293" s="77"/>
      <c r="S293" s="77"/>
      <c r="T293" s="49"/>
      <c r="U293" s="49"/>
      <c r="V293" s="49"/>
      <c r="W293" s="77"/>
      <c r="X293" s="77"/>
      <c r="Y293" s="77"/>
      <c r="Z293" s="77"/>
      <c r="AA293" s="77"/>
      <c r="AB293" s="77"/>
      <c r="AC293" s="49"/>
      <c r="AD293" s="49"/>
      <c r="AE293" s="49"/>
      <c r="AF293" s="77"/>
      <c r="AG293" s="77"/>
      <c r="AH293" s="77"/>
      <c r="AI293" s="77"/>
      <c r="AJ293" s="77"/>
      <c r="AK293" s="49"/>
      <c r="AL293" s="49"/>
      <c r="AM293" s="49"/>
      <c r="AN293" s="49"/>
      <c r="AO293" s="49"/>
      <c r="AP293" s="49"/>
      <c r="AQ293" s="49"/>
      <c r="AR293" s="49"/>
      <c r="AS293" s="49"/>
      <c r="AT293" s="49"/>
      <c r="AU293" s="49"/>
      <c r="AV293" s="49"/>
      <c r="AW293" s="49"/>
      <c r="AX293" s="49"/>
      <c r="AY293" s="49"/>
      <c r="AZ293" s="49"/>
      <c r="BA293" s="49"/>
      <c r="BB293" s="49"/>
      <c r="BC293" s="49"/>
      <c r="BD293" s="49"/>
      <c r="BE293" s="49"/>
      <c r="BF293" s="49"/>
      <c r="BG293" s="49"/>
      <c r="BH293" s="49"/>
      <c r="BI293" s="49"/>
      <c r="BJ293" s="49"/>
      <c r="BK293" s="49"/>
      <c r="BL293" s="5"/>
      <c r="BM293" s="1"/>
      <c r="BN293" s="1"/>
      <c r="BO293" s="1"/>
      <c r="BP293" s="1"/>
      <c r="BQ293" s="1"/>
      <c r="BR293" s="1"/>
      <c r="BS293" s="1"/>
    </row>
    <row r="294" spans="1:71" ht="7.5" customHeight="1" x14ac:dyDescent="0.25">
      <c r="A294" s="6"/>
      <c r="B294" s="1"/>
      <c r="C294" s="1"/>
      <c r="D294" s="1"/>
      <c r="E294" s="1"/>
      <c r="F294" s="1"/>
      <c r="G294" s="1"/>
      <c r="H294" s="1"/>
      <c r="I294" s="49"/>
      <c r="J294" s="49"/>
      <c r="K294" s="49"/>
      <c r="L294" s="49"/>
      <c r="M294" s="49"/>
      <c r="N294" s="49"/>
      <c r="O294" s="49"/>
      <c r="P294" s="77"/>
      <c r="Q294" s="77"/>
      <c r="R294" s="77"/>
      <c r="S294" s="77"/>
      <c r="T294" s="49"/>
      <c r="U294" s="49"/>
      <c r="V294" s="49"/>
      <c r="W294" s="77"/>
      <c r="X294" s="77"/>
      <c r="Y294" s="77"/>
      <c r="Z294" s="77"/>
      <c r="AA294" s="77"/>
      <c r="AB294" s="77"/>
      <c r="AC294" s="49"/>
      <c r="AD294" s="49"/>
      <c r="AE294" s="49"/>
      <c r="AF294" s="77"/>
      <c r="AG294" s="77"/>
      <c r="AH294" s="77"/>
      <c r="AI294" s="77"/>
      <c r="AJ294" s="77"/>
      <c r="AK294" s="49"/>
      <c r="AL294" s="49"/>
      <c r="AM294" s="49"/>
      <c r="AN294" s="49"/>
      <c r="AO294" s="49"/>
      <c r="AP294" s="49"/>
      <c r="AQ294" s="49"/>
      <c r="AR294" s="49"/>
      <c r="AS294" s="49"/>
      <c r="AT294" s="49"/>
      <c r="AU294" s="49"/>
      <c r="AV294" s="49"/>
      <c r="AW294" s="49"/>
      <c r="AX294" s="49"/>
      <c r="AY294" s="49"/>
      <c r="AZ294" s="49"/>
      <c r="BA294" s="49"/>
      <c r="BB294" s="49"/>
      <c r="BC294" s="49"/>
      <c r="BD294" s="49"/>
      <c r="BE294" s="49"/>
      <c r="BF294" s="49"/>
      <c r="BG294" s="49"/>
      <c r="BH294" s="49"/>
      <c r="BI294" s="49"/>
      <c r="BJ294" s="49"/>
      <c r="BK294" s="49"/>
      <c r="BL294" s="5"/>
      <c r="BM294" s="1"/>
      <c r="BN294" s="1"/>
      <c r="BO294" s="1"/>
      <c r="BP294" s="1"/>
      <c r="BQ294" s="1"/>
      <c r="BR294" s="1"/>
      <c r="BS294" s="1"/>
    </row>
    <row r="295" spans="1:71" ht="7.5" customHeight="1" x14ac:dyDescent="0.25">
      <c r="A295" s="6"/>
      <c r="B295" s="1"/>
      <c r="C295" s="1"/>
      <c r="D295" s="1"/>
      <c r="E295" s="1"/>
      <c r="F295" s="1"/>
      <c r="G295" s="1"/>
      <c r="H295" s="1"/>
      <c r="I295" s="49"/>
      <c r="J295" s="49"/>
      <c r="K295" s="49"/>
      <c r="L295" s="49"/>
      <c r="M295" s="49"/>
      <c r="N295" s="49"/>
      <c r="O295" s="49"/>
      <c r="P295" s="77"/>
      <c r="Q295" s="77"/>
      <c r="R295" s="77"/>
      <c r="S295" s="77"/>
      <c r="T295" s="49"/>
      <c r="U295" s="49"/>
      <c r="V295" s="49"/>
      <c r="W295" s="77"/>
      <c r="X295" s="77"/>
      <c r="Y295" s="77"/>
      <c r="Z295" s="77"/>
      <c r="AA295" s="77"/>
      <c r="AB295" s="77"/>
      <c r="AC295" s="49"/>
      <c r="AD295" s="49"/>
      <c r="AE295" s="49"/>
      <c r="AF295" s="77"/>
      <c r="AG295" s="77"/>
      <c r="AH295" s="77"/>
      <c r="AI295" s="77"/>
      <c r="AJ295" s="77"/>
      <c r="AK295" s="49"/>
      <c r="AL295" s="49"/>
      <c r="AM295" s="49"/>
      <c r="AN295" s="49"/>
      <c r="AO295" s="49"/>
      <c r="AP295" s="49"/>
      <c r="AQ295" s="49"/>
      <c r="AR295" s="49"/>
      <c r="AS295" s="49"/>
      <c r="AT295" s="49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 s="49"/>
      <c r="BI295" s="49"/>
      <c r="BJ295" s="49"/>
      <c r="BK295" s="49"/>
      <c r="BL295" s="5"/>
      <c r="BM295" s="1"/>
      <c r="BN295" s="1"/>
      <c r="BO295" s="1"/>
      <c r="BP295" s="1"/>
      <c r="BQ295" s="1"/>
      <c r="BR295" s="1"/>
      <c r="BS295" s="1"/>
    </row>
    <row r="296" spans="1:71" ht="7.5" customHeight="1" x14ac:dyDescent="0.25">
      <c r="A296" s="6"/>
      <c r="B296" s="1"/>
      <c r="C296" s="1"/>
      <c r="D296" s="1"/>
      <c r="E296" s="1"/>
      <c r="F296" s="1"/>
      <c r="G296" s="1"/>
      <c r="H296" s="1"/>
      <c r="I296" s="49"/>
      <c r="J296" s="49"/>
      <c r="K296" s="49"/>
      <c r="L296" s="49"/>
      <c r="M296" s="49"/>
      <c r="N296" s="49"/>
      <c r="O296" s="49"/>
      <c r="P296" s="77"/>
      <c r="Q296" s="77"/>
      <c r="R296" s="77"/>
      <c r="S296" s="77"/>
      <c r="T296" s="49"/>
      <c r="U296" s="49"/>
      <c r="V296" s="49"/>
      <c r="W296" s="77"/>
      <c r="X296" s="77"/>
      <c r="Y296" s="77"/>
      <c r="Z296" s="77"/>
      <c r="AA296" s="77"/>
      <c r="AB296" s="77"/>
      <c r="AC296" s="49"/>
      <c r="AD296" s="49"/>
      <c r="AE296" s="49"/>
      <c r="AF296" s="77"/>
      <c r="AG296" s="77"/>
      <c r="AH296" s="77"/>
      <c r="AI296" s="77"/>
      <c r="AJ296" s="77"/>
      <c r="AK296" s="49"/>
      <c r="AL296" s="49"/>
      <c r="AM296" s="49"/>
      <c r="AN296" s="49"/>
      <c r="AO296" s="49"/>
      <c r="AP296" s="49"/>
      <c r="AQ296" s="49"/>
      <c r="AR296" s="49"/>
      <c r="AS296" s="49"/>
      <c r="AT296" s="49"/>
      <c r="AU296" s="49"/>
      <c r="AV296" s="49"/>
      <c r="AW296" s="49"/>
      <c r="AX296" s="49"/>
      <c r="AY296" s="49"/>
      <c r="AZ296" s="49"/>
      <c r="BA296" s="49"/>
      <c r="BB296" s="49"/>
      <c r="BC296" s="49"/>
      <c r="BD296" s="49"/>
      <c r="BE296" s="49"/>
      <c r="BF296" s="49"/>
      <c r="BG296" s="49"/>
      <c r="BH296" s="49"/>
      <c r="BI296" s="49"/>
      <c r="BJ296" s="49"/>
      <c r="BK296" s="49"/>
      <c r="BL296" s="5"/>
      <c r="BM296" s="1"/>
      <c r="BN296" s="1"/>
      <c r="BO296" s="1"/>
      <c r="BP296" s="1"/>
      <c r="BQ296" s="1"/>
      <c r="BR296" s="1"/>
      <c r="BS296" s="1"/>
    </row>
    <row r="297" spans="1:71" ht="7.5" customHeight="1" x14ac:dyDescent="0.25">
      <c r="A297" s="6"/>
      <c r="B297" s="1"/>
      <c r="C297" s="1"/>
      <c r="D297" s="1"/>
      <c r="E297" s="1"/>
      <c r="F297" s="1"/>
      <c r="G297" s="1"/>
      <c r="H297" s="1"/>
      <c r="I297" s="49"/>
      <c r="J297" s="49"/>
      <c r="K297" s="49"/>
      <c r="L297" s="49"/>
      <c r="M297" s="49"/>
      <c r="N297" s="49"/>
      <c r="O297" s="49"/>
      <c r="P297" s="77"/>
      <c r="Q297" s="77"/>
      <c r="R297" s="77"/>
      <c r="S297" s="77"/>
      <c r="T297" s="49"/>
      <c r="U297" s="49"/>
      <c r="V297" s="49"/>
      <c r="W297" s="77"/>
      <c r="X297" s="77"/>
      <c r="Y297" s="77"/>
      <c r="Z297" s="77"/>
      <c r="AA297" s="77"/>
      <c r="AB297" s="77"/>
      <c r="AC297" s="49"/>
      <c r="AD297" s="49"/>
      <c r="AE297" s="49"/>
      <c r="AF297" s="77"/>
      <c r="AG297" s="77"/>
      <c r="AH297" s="77"/>
      <c r="AI297" s="77"/>
      <c r="AJ297" s="77"/>
      <c r="AK297" s="49"/>
      <c r="AL297" s="49"/>
      <c r="AM297" s="49"/>
      <c r="AN297" s="49"/>
      <c r="AO297" s="49"/>
      <c r="AP297" s="49"/>
      <c r="AQ297" s="49"/>
      <c r="AR297" s="49"/>
      <c r="AS297" s="49"/>
      <c r="AT297" s="49"/>
      <c r="AU297" s="49"/>
      <c r="AV297" s="49"/>
      <c r="AW297" s="49"/>
      <c r="AX297" s="49"/>
      <c r="AY297" s="49"/>
      <c r="AZ297" s="49"/>
      <c r="BA297" s="49"/>
      <c r="BB297" s="49"/>
      <c r="BC297" s="49"/>
      <c r="BD297" s="49"/>
      <c r="BE297" s="49"/>
      <c r="BF297" s="49"/>
      <c r="BG297" s="49"/>
      <c r="BH297" s="49"/>
      <c r="BI297" s="49"/>
      <c r="BJ297" s="49"/>
      <c r="BK297" s="49"/>
      <c r="BL297" s="5"/>
      <c r="BM297" s="1"/>
      <c r="BN297" s="1"/>
      <c r="BO297" s="1"/>
      <c r="BP297" s="1"/>
      <c r="BQ297" s="1"/>
      <c r="BR297" s="1"/>
      <c r="BS297" s="1"/>
    </row>
    <row r="298" spans="1:71" ht="7.5" customHeight="1" x14ac:dyDescent="0.25">
      <c r="A298" s="58"/>
      <c r="B298" s="25"/>
      <c r="C298" s="25"/>
      <c r="D298" s="25"/>
      <c r="E298" s="25"/>
      <c r="F298" s="25"/>
      <c r="G298" s="25"/>
      <c r="H298" s="25"/>
      <c r="I298" s="53"/>
      <c r="J298" s="53"/>
      <c r="K298" s="53"/>
      <c r="L298" s="53"/>
      <c r="M298" s="53"/>
      <c r="N298" s="53"/>
      <c r="O298" s="53"/>
      <c r="P298" s="78"/>
      <c r="Q298" s="78"/>
      <c r="R298" s="78"/>
      <c r="S298" s="78"/>
      <c r="T298" s="53"/>
      <c r="U298" s="53"/>
      <c r="V298" s="53"/>
      <c r="W298" s="78"/>
      <c r="X298" s="78"/>
      <c r="Y298" s="78"/>
      <c r="Z298" s="78"/>
      <c r="AA298" s="78"/>
      <c r="AB298" s="78"/>
      <c r="AC298" s="53"/>
      <c r="AD298" s="53"/>
      <c r="AE298" s="53"/>
      <c r="AF298" s="78"/>
      <c r="AG298" s="78"/>
      <c r="AH298" s="78"/>
      <c r="AI298" s="78"/>
      <c r="AJ298" s="78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  <c r="BK298" s="53"/>
      <c r="BL298" s="59"/>
      <c r="BM298" s="1"/>
      <c r="BN298" s="1"/>
      <c r="BO298" s="1"/>
      <c r="BP298" s="1"/>
      <c r="BQ298" s="1"/>
      <c r="BR298" s="1"/>
      <c r="BS298" s="1"/>
    </row>
    <row r="299" spans="1:71" ht="7.5" customHeight="1" x14ac:dyDescent="0.25">
      <c r="A299" s="1"/>
      <c r="B299" s="1"/>
      <c r="C299" s="1"/>
      <c r="D299" s="1"/>
      <c r="E299" s="1"/>
      <c r="F299" s="1"/>
      <c r="G299" s="1"/>
      <c r="H299" s="1"/>
      <c r="I299" s="49"/>
      <c r="J299" s="49"/>
      <c r="K299" s="49"/>
      <c r="L299" s="49"/>
      <c r="M299" s="49"/>
      <c r="N299" s="49"/>
      <c r="O299" s="49"/>
      <c r="P299" s="77"/>
      <c r="Q299" s="77"/>
      <c r="R299" s="77"/>
      <c r="S299" s="77"/>
      <c r="T299" s="49"/>
      <c r="U299" s="49"/>
      <c r="V299" s="49"/>
      <c r="W299" s="77"/>
      <c r="X299" s="77"/>
      <c r="Y299" s="77"/>
      <c r="Z299" s="77"/>
      <c r="AA299" s="77"/>
      <c r="AB299" s="77"/>
      <c r="AC299" s="49"/>
      <c r="AD299" s="49"/>
      <c r="AE299" s="49"/>
      <c r="AF299" s="77"/>
      <c r="AG299" s="77"/>
      <c r="AH299" s="77"/>
      <c r="AI299" s="77"/>
      <c r="AJ299" s="77"/>
      <c r="AK299" s="49"/>
      <c r="AL299" s="49"/>
      <c r="AM299" s="49"/>
      <c r="AN299" s="49"/>
      <c r="AO299" s="49"/>
      <c r="AP299" s="49"/>
      <c r="AQ299" s="49"/>
      <c r="AR299" s="49"/>
      <c r="AS299" s="49"/>
      <c r="AT299" s="49"/>
      <c r="AU299" s="49"/>
      <c r="AV299" s="49"/>
      <c r="AW299" s="49"/>
      <c r="AX299" s="49"/>
      <c r="AY299" s="49"/>
      <c r="AZ299" s="49"/>
      <c r="BA299" s="49"/>
      <c r="BB299" s="49"/>
      <c r="BC299" s="49"/>
      <c r="BD299" s="49"/>
      <c r="BE299" s="49"/>
      <c r="BF299" s="49"/>
      <c r="BG299" s="49"/>
      <c r="BH299" s="49"/>
      <c r="BI299" s="49"/>
      <c r="BJ299" s="49"/>
      <c r="BK299" s="49"/>
      <c r="BL299" s="1"/>
      <c r="BM299" s="1"/>
      <c r="BN299" s="1"/>
      <c r="BO299" s="1"/>
      <c r="BP299" s="1"/>
      <c r="BQ299" s="1"/>
      <c r="BR299" s="1"/>
      <c r="BS299" s="1"/>
    </row>
    <row r="300" spans="1:71" ht="7.5" customHeight="1" x14ac:dyDescent="0.25">
      <c r="A300" s="1"/>
      <c r="B300" s="1"/>
      <c r="C300" s="1"/>
      <c r="D300" s="1"/>
      <c r="E300" s="1"/>
      <c r="F300" s="1"/>
      <c r="G300" s="1"/>
      <c r="H300" s="1"/>
      <c r="I300" s="49"/>
      <c r="J300" s="49"/>
      <c r="K300" s="49"/>
      <c r="L300" s="49"/>
      <c r="M300" s="49"/>
      <c r="N300" s="49"/>
      <c r="O300" s="49"/>
      <c r="P300" s="77"/>
      <c r="Q300" s="77"/>
      <c r="R300" s="77"/>
      <c r="S300" s="77"/>
      <c r="T300" s="49"/>
      <c r="U300" s="49"/>
      <c r="V300" s="49"/>
      <c r="W300" s="77"/>
      <c r="X300" s="77"/>
      <c r="Y300" s="77"/>
      <c r="Z300" s="77"/>
      <c r="AA300" s="77"/>
      <c r="AB300" s="77"/>
      <c r="AC300" s="49"/>
      <c r="AD300" s="49"/>
      <c r="AE300" s="49"/>
      <c r="AF300" s="77"/>
      <c r="AG300" s="77"/>
      <c r="AH300" s="77"/>
      <c r="AI300" s="77"/>
      <c r="AJ300" s="77"/>
      <c r="AK300" s="49"/>
      <c r="AL300" s="49"/>
      <c r="AM300" s="49"/>
      <c r="AN300" s="49"/>
      <c r="AO300" s="49"/>
      <c r="AP300" s="49"/>
      <c r="AQ300" s="49"/>
      <c r="AR300" s="49"/>
      <c r="AS300" s="49"/>
      <c r="AT300" s="49"/>
      <c r="AU300" s="49"/>
      <c r="AV300" s="49"/>
      <c r="AW300" s="49"/>
      <c r="AX300" s="49"/>
      <c r="AY300" s="49"/>
      <c r="AZ300" s="49"/>
      <c r="BA300" s="49"/>
      <c r="BB300" s="49"/>
      <c r="BC300" s="49"/>
      <c r="BD300" s="49"/>
      <c r="BE300" s="49"/>
      <c r="BF300" s="49"/>
      <c r="BG300" s="49"/>
      <c r="BH300" s="49"/>
      <c r="BI300" s="49"/>
      <c r="BJ300" s="49"/>
      <c r="BK300" s="49"/>
      <c r="BL300" s="1"/>
      <c r="BM300" s="1"/>
      <c r="BN300" s="1"/>
      <c r="BO300" s="1"/>
      <c r="BP300" s="1"/>
      <c r="BQ300" s="1"/>
      <c r="BR300" s="1"/>
      <c r="BS300" s="1"/>
    </row>
    <row r="301" spans="1:71" ht="7.5" customHeight="1" x14ac:dyDescent="0.25">
      <c r="A301" s="1"/>
      <c r="B301" s="1"/>
      <c r="C301" s="1"/>
      <c r="D301" s="1"/>
      <c r="E301" s="1"/>
      <c r="F301" s="1"/>
      <c r="G301" s="1"/>
      <c r="H301" s="1"/>
      <c r="I301" s="49"/>
      <c r="J301" s="49"/>
      <c r="K301" s="49"/>
      <c r="L301" s="49"/>
      <c r="M301" s="49"/>
      <c r="N301" s="49"/>
      <c r="O301" s="49"/>
      <c r="P301" s="77"/>
      <c r="Q301" s="77"/>
      <c r="R301" s="77"/>
      <c r="S301" s="77"/>
      <c r="T301" s="49"/>
      <c r="U301" s="49"/>
      <c r="V301" s="49"/>
      <c r="W301" s="77"/>
      <c r="X301" s="77"/>
      <c r="Y301" s="77"/>
      <c r="Z301" s="77"/>
      <c r="AA301" s="77"/>
      <c r="AB301" s="77"/>
      <c r="AC301" s="49"/>
      <c r="AD301" s="49"/>
      <c r="AE301" s="49"/>
      <c r="AF301" s="77"/>
      <c r="AG301" s="77"/>
      <c r="AH301" s="77"/>
      <c r="AI301" s="77"/>
      <c r="AJ301" s="77"/>
      <c r="AK301" s="49"/>
      <c r="AL301" s="49"/>
      <c r="AM301" s="49"/>
      <c r="AN301" s="49"/>
      <c r="AO301" s="49"/>
      <c r="AP301" s="49"/>
      <c r="AQ301" s="49"/>
      <c r="AR301" s="49"/>
      <c r="AS301" s="49"/>
      <c r="AT301" s="49"/>
      <c r="AU301" s="49"/>
      <c r="AV301" s="49"/>
      <c r="AW301" s="49"/>
      <c r="AX301" s="49"/>
      <c r="AY301" s="49"/>
      <c r="AZ301" s="49"/>
      <c r="BA301" s="49"/>
      <c r="BB301" s="49"/>
      <c r="BC301" s="49"/>
      <c r="BD301" s="49"/>
      <c r="BE301" s="49"/>
      <c r="BF301" s="49"/>
      <c r="BG301" s="49"/>
      <c r="BH301" s="49"/>
      <c r="BI301" s="49"/>
      <c r="BJ301" s="49"/>
      <c r="BK301" s="49"/>
      <c r="BL301" s="1"/>
      <c r="BM301" s="1"/>
      <c r="BN301" s="1"/>
      <c r="BO301" s="1"/>
      <c r="BP301" s="1"/>
      <c r="BQ301" s="1"/>
      <c r="BR301" s="1"/>
      <c r="BS301" s="1"/>
    </row>
    <row r="302" spans="1:71" ht="7.5" customHeight="1" x14ac:dyDescent="0.25">
      <c r="A302" s="1"/>
      <c r="B302" s="1"/>
      <c r="C302" s="1"/>
      <c r="D302" s="1"/>
      <c r="E302" s="1"/>
      <c r="F302" s="1"/>
      <c r="G302" s="1"/>
      <c r="H302" s="1"/>
      <c r="I302" s="49"/>
      <c r="J302" s="49"/>
      <c r="K302" s="49"/>
      <c r="L302" s="49"/>
      <c r="M302" s="49"/>
      <c r="N302" s="49"/>
      <c r="O302" s="49"/>
      <c r="P302" s="77"/>
      <c r="Q302" s="77"/>
      <c r="R302" s="77"/>
      <c r="S302" s="77"/>
      <c r="T302" s="49"/>
      <c r="U302" s="49"/>
      <c r="V302" s="49"/>
      <c r="W302" s="77"/>
      <c r="X302" s="77"/>
      <c r="Y302" s="77"/>
      <c r="Z302" s="77"/>
      <c r="AA302" s="77"/>
      <c r="AB302" s="77"/>
      <c r="AC302" s="49"/>
      <c r="AD302" s="49"/>
      <c r="AE302" s="49"/>
      <c r="AF302" s="77"/>
      <c r="AG302" s="77"/>
      <c r="AH302" s="77"/>
      <c r="AI302" s="77"/>
      <c r="AJ302" s="77"/>
      <c r="AK302" s="49"/>
      <c r="AL302" s="49"/>
      <c r="AM302" s="49"/>
      <c r="AN302" s="49"/>
      <c r="AO302" s="49"/>
      <c r="AP302" s="49"/>
      <c r="AQ302" s="49"/>
      <c r="AR302" s="49"/>
      <c r="AS302" s="49"/>
      <c r="AT302" s="49"/>
      <c r="AU302" s="49"/>
      <c r="AV302" s="49"/>
      <c r="AW302" s="49"/>
      <c r="AX302" s="49"/>
      <c r="AY302" s="49"/>
      <c r="AZ302" s="49"/>
      <c r="BA302" s="49"/>
      <c r="BB302" s="49"/>
      <c r="BC302" s="49"/>
      <c r="BD302" s="49"/>
      <c r="BE302" s="49"/>
      <c r="BF302" s="49"/>
      <c r="BG302" s="49"/>
      <c r="BH302" s="49"/>
      <c r="BI302" s="49"/>
      <c r="BJ302" s="49"/>
      <c r="BK302" s="49"/>
      <c r="BL302" s="1"/>
      <c r="BM302" s="1"/>
      <c r="BN302" s="1"/>
      <c r="BO302" s="1"/>
      <c r="BP302" s="1"/>
      <c r="BQ302" s="1"/>
      <c r="BR302" s="1"/>
      <c r="BS302" s="1"/>
    </row>
    <row r="303" spans="1:71" ht="7.5" customHeight="1" x14ac:dyDescent="0.25">
      <c r="A303" s="1"/>
      <c r="B303" s="1"/>
      <c r="C303" s="1"/>
      <c r="D303" s="1"/>
      <c r="E303" s="1"/>
      <c r="F303" s="1"/>
      <c r="G303" s="1"/>
      <c r="H303" s="1"/>
      <c r="I303" s="49"/>
      <c r="J303" s="49"/>
      <c r="K303" s="49"/>
      <c r="L303" s="49"/>
      <c r="M303" s="49"/>
      <c r="N303" s="49"/>
      <c r="O303" s="49"/>
      <c r="P303" s="77"/>
      <c r="Q303" s="77"/>
      <c r="R303" s="77"/>
      <c r="S303" s="77"/>
      <c r="T303" s="49"/>
      <c r="U303" s="49"/>
      <c r="V303" s="49"/>
      <c r="W303" s="77"/>
      <c r="X303" s="77"/>
      <c r="Y303" s="77"/>
      <c r="Z303" s="77"/>
      <c r="AA303" s="77"/>
      <c r="AB303" s="77"/>
      <c r="AC303" s="49"/>
      <c r="AD303" s="49"/>
      <c r="AE303" s="49"/>
      <c r="AF303" s="77"/>
      <c r="AG303" s="77"/>
      <c r="AH303" s="77"/>
      <c r="AI303" s="77"/>
      <c r="AJ303" s="77"/>
      <c r="AK303" s="49"/>
      <c r="AL303" s="49"/>
      <c r="AM303" s="49"/>
      <c r="AN303" s="49"/>
      <c r="AO303" s="49"/>
      <c r="AP303" s="49"/>
      <c r="AQ303" s="49"/>
      <c r="AR303" s="49"/>
      <c r="AS303" s="49"/>
      <c r="AT303" s="49"/>
      <c r="AU303" s="49"/>
      <c r="AV303" s="49"/>
      <c r="AW303" s="49"/>
      <c r="AX303" s="49"/>
      <c r="AY303" s="49"/>
      <c r="AZ303" s="49"/>
      <c r="BA303" s="49"/>
      <c r="BB303" s="49"/>
      <c r="BC303" s="49"/>
      <c r="BD303" s="49"/>
      <c r="BE303" s="49"/>
      <c r="BF303" s="49"/>
      <c r="BG303" s="49"/>
      <c r="BH303" s="49"/>
      <c r="BI303" s="49"/>
      <c r="BJ303" s="49"/>
      <c r="BK303" s="49"/>
      <c r="BL303" s="1"/>
      <c r="BM303" s="1"/>
      <c r="BN303" s="1"/>
      <c r="BO303" s="1"/>
      <c r="BP303" s="1"/>
      <c r="BQ303" s="1"/>
      <c r="BR303" s="1"/>
      <c r="BS303" s="1"/>
    </row>
    <row r="304" spans="1:71" ht="7.5" customHeight="1" x14ac:dyDescent="0.25">
      <c r="A304" s="1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1"/>
      <c r="BM304" s="1"/>
      <c r="BN304" s="1"/>
      <c r="BO304" s="1"/>
      <c r="BP304" s="1"/>
      <c r="BQ304" s="1"/>
      <c r="BR304" s="1"/>
      <c r="BS304" s="1"/>
    </row>
    <row r="305" spans="1:108" ht="7.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</row>
    <row r="306" spans="1:108" ht="7.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</row>
    <row r="307" spans="1:108" ht="7.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</row>
    <row r="308" spans="1:108" ht="7.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</row>
    <row r="309" spans="1:108" ht="7.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271" t="s">
        <v>1251</v>
      </c>
      <c r="AQ309" s="271"/>
      <c r="AR309" s="271"/>
      <c r="AS309" s="271"/>
      <c r="AT309" s="271"/>
      <c r="AU309" s="271"/>
      <c r="AV309" s="271"/>
      <c r="AW309" s="271"/>
      <c r="AX309" s="271"/>
      <c r="AY309" s="271"/>
      <c r="AZ309" s="271"/>
      <c r="BA309" s="271"/>
      <c r="BB309" s="271"/>
      <c r="BC309" s="271"/>
      <c r="BD309" s="271"/>
      <c r="BE309" s="271"/>
      <c r="BF309" s="271"/>
      <c r="BG309" s="271"/>
      <c r="BH309" s="273" t="s">
        <v>1256</v>
      </c>
      <c r="BI309" s="352" t="s">
        <v>1257</v>
      </c>
      <c r="BJ309" s="352"/>
      <c r="BK309" s="352"/>
      <c r="BL309" s="352"/>
      <c r="BM309" s="1"/>
      <c r="BN309" s="1"/>
      <c r="BO309" s="1"/>
      <c r="BP309" s="1"/>
      <c r="BQ309" s="1"/>
      <c r="BR309" s="1"/>
      <c r="BS309" s="1"/>
    </row>
    <row r="310" spans="1:108" ht="7.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271"/>
      <c r="AQ310" s="271"/>
      <c r="AR310" s="271"/>
      <c r="AS310" s="271"/>
      <c r="AT310" s="271"/>
      <c r="AU310" s="271"/>
      <c r="AV310" s="271"/>
      <c r="AW310" s="271"/>
      <c r="AX310" s="271"/>
      <c r="AY310" s="271"/>
      <c r="AZ310" s="271"/>
      <c r="BA310" s="271"/>
      <c r="BB310" s="271"/>
      <c r="BC310" s="271"/>
      <c r="BD310" s="271"/>
      <c r="BE310" s="271"/>
      <c r="BF310" s="271"/>
      <c r="BG310" s="271"/>
      <c r="BH310" s="273"/>
      <c r="BI310" s="352"/>
      <c r="BJ310" s="352"/>
      <c r="BK310" s="352"/>
      <c r="BL310" s="352"/>
      <c r="BM310" s="1"/>
      <c r="BN310" s="1"/>
      <c r="BO310" s="1"/>
      <c r="BP310" s="1"/>
      <c r="BQ310" s="1"/>
      <c r="BR310" s="1"/>
      <c r="BS310" s="1"/>
    </row>
    <row r="311" spans="1:108" ht="7.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</row>
    <row r="312" spans="1:108" ht="7.5" customHeight="1" x14ac:dyDescent="0.25">
      <c r="A312" s="1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1"/>
      <c r="BM312" s="1"/>
      <c r="BN312" s="1"/>
      <c r="BO312" s="1"/>
      <c r="BP312" s="1"/>
      <c r="BQ312" s="1"/>
      <c r="BR312" s="1"/>
      <c r="BS312" s="1"/>
    </row>
    <row r="313" spans="1:108" ht="7.5" customHeight="1" thickBot="1" x14ac:dyDescent="0.3">
      <c r="A313" s="1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1"/>
      <c r="BM313" s="1"/>
      <c r="BN313" s="1"/>
      <c r="BO313" s="1"/>
      <c r="BP313" s="1"/>
      <c r="BQ313" s="1"/>
      <c r="BR313" s="1"/>
      <c r="BS313" s="1"/>
    </row>
    <row r="314" spans="1:108" ht="7.5" customHeight="1" thickTop="1" x14ac:dyDescent="0.25">
      <c r="A314" s="1"/>
      <c r="B314" s="1"/>
      <c r="C314" s="1"/>
      <c r="D314" s="1"/>
      <c r="E314" s="1"/>
      <c r="F314" s="1"/>
      <c r="G314" s="276" t="s">
        <v>1258</v>
      </c>
      <c r="H314" s="277"/>
      <c r="I314" s="277"/>
      <c r="J314" s="277"/>
      <c r="K314" s="277"/>
      <c r="L314" s="277"/>
      <c r="M314" s="277"/>
      <c r="N314" s="277"/>
      <c r="O314" s="277"/>
      <c r="P314" s="277"/>
      <c r="Q314" s="277"/>
      <c r="R314" s="277"/>
      <c r="S314" s="277"/>
      <c r="T314" s="277"/>
      <c r="U314" s="277"/>
      <c r="V314" s="277"/>
      <c r="W314" s="277"/>
      <c r="X314" s="277"/>
      <c r="Y314" s="277"/>
      <c r="Z314" s="277"/>
      <c r="AA314" s="277"/>
      <c r="AB314" s="277"/>
      <c r="AC314" s="277"/>
      <c r="AD314" s="277"/>
      <c r="AE314" s="277"/>
      <c r="AF314" s="277"/>
      <c r="AG314" s="277"/>
      <c r="AH314" s="277"/>
      <c r="AI314" s="277"/>
      <c r="AJ314" s="277"/>
      <c r="AK314" s="277"/>
      <c r="AL314" s="277"/>
      <c r="AM314" s="277"/>
      <c r="AN314" s="277"/>
      <c r="AO314" s="277"/>
      <c r="AP314" s="277"/>
      <c r="AQ314" s="278"/>
      <c r="AR314" s="1"/>
      <c r="AS314" s="1"/>
      <c r="AT314" s="1"/>
      <c r="AU314" s="1"/>
      <c r="AV314" s="1"/>
      <c r="AW314" s="1"/>
      <c r="AX314" s="1"/>
      <c r="AY314" s="1"/>
      <c r="AZ314" s="358" t="s">
        <v>1259</v>
      </c>
      <c r="BA314" s="358"/>
      <c r="BB314" s="358"/>
      <c r="BC314" s="358"/>
      <c r="BD314" s="358"/>
      <c r="BE314" s="358"/>
      <c r="BF314" s="358"/>
      <c r="BG314" s="358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</row>
    <row r="315" spans="1:108" ht="7.5" customHeight="1" thickBot="1" x14ac:dyDescent="0.3">
      <c r="A315" s="1"/>
      <c r="B315" s="1"/>
      <c r="C315" s="1"/>
      <c r="D315" s="1"/>
      <c r="E315" s="1"/>
      <c r="F315" s="1"/>
      <c r="G315" s="281"/>
      <c r="H315" s="282"/>
      <c r="I315" s="282"/>
      <c r="J315" s="282"/>
      <c r="K315" s="282"/>
      <c r="L315" s="282"/>
      <c r="M315" s="282"/>
      <c r="N315" s="282"/>
      <c r="O315" s="282"/>
      <c r="P315" s="282"/>
      <c r="Q315" s="282"/>
      <c r="R315" s="282"/>
      <c r="S315" s="282"/>
      <c r="T315" s="282"/>
      <c r="U315" s="282"/>
      <c r="V315" s="282"/>
      <c r="W315" s="282"/>
      <c r="X315" s="282"/>
      <c r="Y315" s="282"/>
      <c r="Z315" s="282"/>
      <c r="AA315" s="282"/>
      <c r="AB315" s="282"/>
      <c r="AC315" s="282"/>
      <c r="AD315" s="282"/>
      <c r="AE315" s="282"/>
      <c r="AF315" s="282"/>
      <c r="AG315" s="282"/>
      <c r="AH315" s="282"/>
      <c r="AI315" s="282"/>
      <c r="AJ315" s="282"/>
      <c r="AK315" s="282"/>
      <c r="AL315" s="282"/>
      <c r="AM315" s="282"/>
      <c r="AN315" s="282"/>
      <c r="AO315" s="282"/>
      <c r="AP315" s="282"/>
      <c r="AQ315" s="283"/>
      <c r="AR315" s="1"/>
      <c r="AS315" s="1"/>
      <c r="AT315" s="1"/>
      <c r="AU315" s="1"/>
      <c r="AV315" s="1"/>
      <c r="AW315" s="1"/>
      <c r="AX315" s="1"/>
      <c r="AY315" s="1"/>
      <c r="AZ315" s="358"/>
      <c r="BA315" s="358"/>
      <c r="BB315" s="358"/>
      <c r="BC315" s="358"/>
      <c r="BD315" s="358"/>
      <c r="BE315" s="358"/>
      <c r="BF315" s="358"/>
      <c r="BG315" s="358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</row>
    <row r="316" spans="1:108" ht="7.5" customHeight="1" thickTop="1" x14ac:dyDescent="0.25">
      <c r="A316" s="1"/>
      <c r="B316" s="1"/>
      <c r="C316" s="1"/>
      <c r="D316" s="1"/>
      <c r="E316" s="1"/>
      <c r="F316" s="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1"/>
      <c r="AS316" s="1"/>
      <c r="AT316" s="1"/>
      <c r="AU316" s="1"/>
      <c r="AV316" s="1"/>
      <c r="AW316" s="1"/>
      <c r="AX316" s="1"/>
      <c r="AY316" s="1"/>
      <c r="AZ316" s="42"/>
      <c r="BA316" s="42"/>
      <c r="BB316" s="42"/>
      <c r="BC316" s="42"/>
      <c r="BD316" s="42"/>
      <c r="BE316" s="42"/>
      <c r="BF316" s="42"/>
      <c r="BG316" s="42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</row>
    <row r="317" spans="1:108" ht="7.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</row>
    <row r="318" spans="1:108" ht="7.5" customHeight="1" x14ac:dyDescent="0.25">
      <c r="A318" s="1"/>
      <c r="B318" s="245" t="s">
        <v>1332</v>
      </c>
      <c r="C318" s="246"/>
      <c r="D318" s="246"/>
      <c r="E318" s="246"/>
      <c r="F318" s="246"/>
      <c r="G318" s="246"/>
      <c r="H318" s="246"/>
      <c r="I318" s="246"/>
      <c r="J318" s="246"/>
      <c r="K318" s="246"/>
      <c r="L318" s="246"/>
      <c r="M318" s="246"/>
      <c r="N318" s="246"/>
      <c r="O318" s="246"/>
      <c r="P318" s="246"/>
      <c r="Q318" s="246"/>
      <c r="R318" s="246"/>
      <c r="S318" s="246"/>
      <c r="T318" s="246"/>
      <c r="U318" s="246"/>
      <c r="V318" s="246"/>
      <c r="W318" s="247"/>
      <c r="X318" s="77"/>
      <c r="Y318" s="77"/>
      <c r="Z318" s="77"/>
      <c r="AA318" s="77"/>
      <c r="AB318" s="77"/>
      <c r="AC318" s="49"/>
      <c r="AD318" s="49"/>
      <c r="AE318" s="49"/>
      <c r="AF318" s="77"/>
      <c r="AG318" s="77"/>
      <c r="AH318" s="77"/>
      <c r="AI318" s="77"/>
      <c r="AJ318" s="77"/>
      <c r="AK318" s="49"/>
      <c r="AL318" s="49"/>
      <c r="AM318" s="49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49"/>
      <c r="AZ318" s="49"/>
      <c r="BA318" s="49"/>
      <c r="BB318" s="49"/>
      <c r="BC318" s="49"/>
      <c r="BD318" s="49"/>
      <c r="BE318" s="49"/>
      <c r="BF318" s="49"/>
      <c r="BG318" s="49"/>
      <c r="BH318" s="49"/>
      <c r="BI318" s="49"/>
      <c r="BJ318" s="49"/>
      <c r="BK318" s="49"/>
      <c r="BL318" s="1"/>
      <c r="BM318" s="1"/>
      <c r="BN318" s="1"/>
      <c r="BO318" s="1"/>
      <c r="BP318" s="1"/>
      <c r="BQ318" s="1"/>
      <c r="BR318" s="1"/>
      <c r="BS318" s="1"/>
    </row>
    <row r="319" spans="1:108" ht="7.5" customHeight="1" x14ac:dyDescent="0.25">
      <c r="A319" s="1"/>
      <c r="B319" s="248"/>
      <c r="C319" s="249"/>
      <c r="D319" s="249"/>
      <c r="E319" s="249"/>
      <c r="F319" s="249"/>
      <c r="G319" s="249"/>
      <c r="H319" s="249"/>
      <c r="I319" s="249"/>
      <c r="J319" s="249"/>
      <c r="K319" s="249"/>
      <c r="L319" s="249"/>
      <c r="M319" s="249"/>
      <c r="N319" s="249"/>
      <c r="O319" s="249"/>
      <c r="P319" s="249"/>
      <c r="Q319" s="249"/>
      <c r="R319" s="249"/>
      <c r="S319" s="249"/>
      <c r="T319" s="249"/>
      <c r="U319" s="249"/>
      <c r="V319" s="249"/>
      <c r="W319" s="250"/>
      <c r="X319" s="77"/>
      <c r="Y319" s="77"/>
      <c r="Z319" s="77"/>
      <c r="AA319" s="77"/>
      <c r="AB319" s="77"/>
      <c r="AC319" s="49"/>
      <c r="AD319" s="49"/>
      <c r="AE319" s="49"/>
      <c r="AF319" s="77"/>
      <c r="AG319" s="77"/>
      <c r="AH319" s="77"/>
      <c r="AI319" s="77"/>
      <c r="AJ319" s="77"/>
      <c r="AK319" s="49"/>
      <c r="AL319" s="49"/>
      <c r="AM319" s="49"/>
      <c r="AN319" s="49"/>
      <c r="AO319" s="49"/>
      <c r="AP319" s="49"/>
      <c r="AQ319" s="49"/>
      <c r="AR319" s="49"/>
      <c r="AS319" s="49"/>
      <c r="AT319" s="49"/>
      <c r="AU319" s="49"/>
      <c r="AV319" s="49"/>
      <c r="AW319" s="49"/>
      <c r="AX319" s="49"/>
      <c r="AY319" s="49"/>
      <c r="AZ319" s="49"/>
      <c r="BA319" s="49"/>
      <c r="BB319" s="49"/>
      <c r="BC319" s="49"/>
      <c r="BD319" s="49"/>
      <c r="BE319" s="49"/>
      <c r="BF319" s="49"/>
      <c r="BG319" s="49"/>
      <c r="BH319" s="49"/>
      <c r="BI319" s="49"/>
      <c r="BJ319" s="49"/>
      <c r="BK319" s="49"/>
      <c r="BL319" s="1"/>
      <c r="BM319" s="1"/>
      <c r="BN319" s="1"/>
      <c r="BO319" s="1"/>
      <c r="BP319" s="1"/>
      <c r="BQ319" s="1"/>
      <c r="BR319" s="1"/>
      <c r="BS319" s="1"/>
    </row>
    <row r="320" spans="1:108" ht="7.5" customHeight="1" x14ac:dyDescent="0.25">
      <c r="A320" s="1"/>
      <c r="B320" s="248"/>
      <c r="C320" s="249"/>
      <c r="D320" s="249"/>
      <c r="E320" s="249"/>
      <c r="F320" s="249"/>
      <c r="G320" s="249"/>
      <c r="H320" s="249"/>
      <c r="I320" s="249"/>
      <c r="J320" s="249"/>
      <c r="K320" s="249"/>
      <c r="L320" s="249"/>
      <c r="M320" s="249"/>
      <c r="N320" s="249"/>
      <c r="O320" s="249"/>
      <c r="P320" s="249"/>
      <c r="Q320" s="249"/>
      <c r="R320" s="249"/>
      <c r="S320" s="249"/>
      <c r="T320" s="249"/>
      <c r="U320" s="249"/>
      <c r="V320" s="249"/>
      <c r="W320" s="250"/>
      <c r="X320" s="77"/>
      <c r="Y320" s="77"/>
      <c r="Z320" s="77"/>
      <c r="AA320" s="77"/>
      <c r="AB320" s="77"/>
      <c r="AC320" s="49"/>
      <c r="AD320" s="49"/>
      <c r="AE320" s="49"/>
      <c r="AF320" s="77"/>
      <c r="AG320" s="77"/>
      <c r="AH320" s="77"/>
      <c r="AI320" s="77"/>
      <c r="AJ320" s="77"/>
      <c r="AK320" s="49"/>
      <c r="AL320" s="49"/>
      <c r="AM320" s="49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49"/>
      <c r="AZ320" s="49"/>
      <c r="BA320" s="49"/>
      <c r="BB320" s="49"/>
      <c r="BC320" s="49"/>
      <c r="BD320" s="49"/>
      <c r="BE320" s="49"/>
      <c r="BF320" s="49"/>
      <c r="BG320" s="49"/>
      <c r="BH320" s="49"/>
      <c r="BI320" s="49"/>
      <c r="BJ320" s="49"/>
      <c r="BK320" s="49"/>
      <c r="BL320" s="1"/>
      <c r="BM320" s="1"/>
      <c r="BN320" s="1"/>
      <c r="BO320" s="1"/>
      <c r="BP320" s="1"/>
      <c r="BQ320" s="1"/>
      <c r="BR320" s="1"/>
      <c r="BS320" s="1"/>
      <c r="CD320" s="84"/>
      <c r="CE320" s="84"/>
      <c r="CF320" s="84"/>
      <c r="CG320" s="84"/>
      <c r="CH320" s="84"/>
      <c r="CI320" s="84"/>
      <c r="CJ320" s="84"/>
      <c r="CK320" s="84"/>
      <c r="CL320" s="84"/>
      <c r="CM320" s="84"/>
      <c r="CN320" s="84"/>
      <c r="CO320" s="84"/>
      <c r="CP320" s="84"/>
      <c r="CQ320" s="84"/>
      <c r="CR320" s="84"/>
      <c r="CS320" s="84"/>
      <c r="CT320" s="84"/>
      <c r="CU320" s="84"/>
      <c r="CV320" s="84"/>
      <c r="CW320" s="84"/>
      <c r="CX320" s="84"/>
      <c r="CY320" s="84"/>
      <c r="CZ320" s="84"/>
      <c r="DA320" s="84"/>
      <c r="DB320" s="84"/>
      <c r="DC320" s="84"/>
      <c r="DD320" s="84"/>
    </row>
    <row r="321" spans="1:108" ht="7.5" customHeight="1" x14ac:dyDescent="0.25">
      <c r="A321" s="1"/>
      <c r="B321" s="248"/>
      <c r="C321" s="249"/>
      <c r="D321" s="249"/>
      <c r="E321" s="249"/>
      <c r="F321" s="249"/>
      <c r="G321" s="249"/>
      <c r="H321" s="249"/>
      <c r="I321" s="249"/>
      <c r="J321" s="249"/>
      <c r="K321" s="249"/>
      <c r="L321" s="249"/>
      <c r="M321" s="249"/>
      <c r="N321" s="249"/>
      <c r="O321" s="249"/>
      <c r="P321" s="249"/>
      <c r="Q321" s="249"/>
      <c r="R321" s="249"/>
      <c r="S321" s="249"/>
      <c r="T321" s="249"/>
      <c r="U321" s="249"/>
      <c r="V321" s="249"/>
      <c r="W321" s="250"/>
      <c r="X321" s="77"/>
      <c r="Y321" s="77"/>
      <c r="Z321" s="77"/>
      <c r="AA321" s="77"/>
      <c r="AB321" s="77"/>
      <c r="AC321" s="49"/>
      <c r="AD321" s="49"/>
      <c r="AE321" s="49"/>
      <c r="AF321" s="77"/>
      <c r="AG321" s="77"/>
      <c r="AH321" s="77"/>
      <c r="AI321" s="77"/>
      <c r="AJ321" s="77"/>
      <c r="AK321" s="49"/>
      <c r="AL321" s="49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49"/>
      <c r="AZ321" s="49"/>
      <c r="BA321" s="49"/>
      <c r="BB321" s="49"/>
      <c r="BC321" s="49"/>
      <c r="BD321" s="49"/>
      <c r="BE321" s="49"/>
      <c r="BF321" s="49"/>
      <c r="BG321" s="49"/>
      <c r="BH321" s="49"/>
      <c r="BI321" s="49"/>
      <c r="BJ321" s="49"/>
      <c r="BK321" s="49"/>
      <c r="BL321" s="1"/>
      <c r="BM321" s="1"/>
      <c r="BN321" s="1"/>
      <c r="BO321" s="1"/>
      <c r="BP321" s="1"/>
      <c r="BQ321" s="1"/>
      <c r="BR321" s="1"/>
      <c r="BS321" s="1"/>
      <c r="CD321" s="84"/>
      <c r="CE321" s="84"/>
      <c r="CF321" s="84"/>
      <c r="CG321" s="84"/>
      <c r="CH321" s="84"/>
      <c r="CI321" s="84"/>
      <c r="CJ321" s="84"/>
      <c r="CK321" s="84"/>
      <c r="CL321" s="84"/>
      <c r="CM321" s="84"/>
      <c r="CN321" s="84"/>
      <c r="CO321" s="84"/>
      <c r="CP321" s="84"/>
      <c r="CQ321" s="84"/>
      <c r="CR321" s="84"/>
      <c r="CS321" s="84"/>
      <c r="CT321" s="84"/>
      <c r="CU321" s="84"/>
      <c r="CV321" s="84"/>
      <c r="CW321" s="84"/>
      <c r="CX321" s="84"/>
      <c r="CY321" s="84"/>
      <c r="CZ321" s="84"/>
      <c r="DA321" s="84"/>
      <c r="DB321" s="84"/>
      <c r="DC321" s="84"/>
      <c r="DD321" s="84"/>
    </row>
    <row r="322" spans="1:108" ht="7.5" customHeight="1" x14ac:dyDescent="0.25">
      <c r="A322" s="1"/>
      <c r="B322" s="38"/>
      <c r="C322" s="60"/>
      <c r="D322" s="60"/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39"/>
      <c r="Q322" s="38"/>
      <c r="R322" s="60"/>
      <c r="S322" s="60"/>
      <c r="T322" s="60"/>
      <c r="U322" s="60"/>
      <c r="V322" s="60"/>
      <c r="W322" s="60"/>
      <c r="X322" s="60"/>
      <c r="Y322" s="60"/>
      <c r="Z322" s="60"/>
      <c r="AA322" s="60"/>
      <c r="AB322" s="60"/>
      <c r="AC322" s="60"/>
      <c r="AD322" s="60"/>
      <c r="AE322" s="60"/>
      <c r="AF322" s="60"/>
      <c r="AG322" s="60"/>
      <c r="AH322" s="60"/>
      <c r="AI322" s="60"/>
      <c r="AJ322" s="60"/>
      <c r="AK322" s="60"/>
      <c r="AL322" s="60"/>
      <c r="AM322" s="60"/>
      <c r="AN322" s="60"/>
      <c r="AO322" s="60"/>
      <c r="AP322" s="60"/>
      <c r="AQ322" s="39"/>
      <c r="AR322" s="418" t="s">
        <v>1301</v>
      </c>
      <c r="AS322" s="419"/>
      <c r="AT322" s="419"/>
      <c r="AU322" s="419"/>
      <c r="AV322" s="419"/>
      <c r="AW322" s="419"/>
      <c r="AX322" s="419"/>
      <c r="AY322" s="419"/>
      <c r="AZ322" s="60"/>
      <c r="BA322" s="60"/>
      <c r="BB322" s="60"/>
      <c r="BC322" s="60"/>
      <c r="BD322" s="60"/>
      <c r="BE322" s="60"/>
      <c r="BF322" s="60"/>
      <c r="BG322" s="60"/>
      <c r="BH322" s="60"/>
      <c r="BI322" s="60"/>
      <c r="BJ322" s="60"/>
      <c r="BK322" s="39"/>
      <c r="BL322" s="1"/>
      <c r="BM322" s="1"/>
      <c r="BN322" s="1"/>
      <c r="BO322" s="1"/>
      <c r="BP322" s="1"/>
      <c r="BQ322" s="1"/>
      <c r="BR322" s="1"/>
      <c r="BS322" s="1"/>
      <c r="CD322" s="84"/>
      <c r="CE322" s="84"/>
      <c r="CF322" s="84"/>
      <c r="CG322" s="84"/>
      <c r="CH322" s="84"/>
      <c r="CI322" s="84"/>
      <c r="CJ322" s="84"/>
      <c r="CK322" s="84"/>
      <c r="CL322" s="84"/>
      <c r="CM322" s="84"/>
      <c r="CN322" s="84"/>
      <c r="CO322" s="84"/>
      <c r="CP322" s="84"/>
      <c r="CQ322" s="84"/>
      <c r="CR322" s="84"/>
      <c r="CS322" s="84"/>
      <c r="CT322" s="84"/>
      <c r="CU322" s="84"/>
      <c r="CV322" s="84"/>
      <c r="CW322" s="84"/>
      <c r="CX322" s="84"/>
      <c r="CY322" s="84"/>
      <c r="CZ322" s="84"/>
      <c r="DA322" s="84"/>
      <c r="DB322" s="84"/>
      <c r="DC322" s="84"/>
      <c r="DD322" s="84"/>
    </row>
    <row r="323" spans="1:108" ht="7.5" customHeight="1" x14ac:dyDescent="0.25">
      <c r="A323" s="1"/>
      <c r="B323" s="6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5"/>
      <c r="Q323" s="6"/>
      <c r="R323" s="1"/>
      <c r="S323" s="1"/>
      <c r="T323" s="1"/>
      <c r="U323" s="1"/>
      <c r="V323" s="410" t="s">
        <v>1369</v>
      </c>
      <c r="W323" s="130"/>
      <c r="X323" s="130"/>
      <c r="Y323" s="130"/>
      <c r="Z323" s="130"/>
      <c r="AA323" s="130"/>
      <c r="AB323" s="130"/>
      <c r="AC323" s="130"/>
      <c r="AD323" s="130"/>
      <c r="AE323" s="130"/>
      <c r="AF323" s="130"/>
      <c r="AG323" s="130"/>
      <c r="AH323" s="130"/>
      <c r="AI323" s="130"/>
      <c r="AJ323" s="130"/>
      <c r="AK323" s="130"/>
      <c r="AL323" s="130"/>
      <c r="AM323" s="130"/>
      <c r="AN323" s="130"/>
      <c r="AO323" s="130"/>
      <c r="AP323" s="130"/>
      <c r="AQ323" s="411"/>
      <c r="AR323" s="420"/>
      <c r="AS323" s="352"/>
      <c r="AT323" s="352"/>
      <c r="AU323" s="352"/>
      <c r="AV323" s="352"/>
      <c r="AW323" s="352"/>
      <c r="AX323" s="352"/>
      <c r="AY323" s="352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5"/>
      <c r="BL323" s="1"/>
      <c r="BM323" s="1"/>
      <c r="BN323" s="1"/>
      <c r="BO323" s="1"/>
      <c r="BP323" s="1"/>
      <c r="BQ323" s="1"/>
      <c r="BR323" s="1"/>
      <c r="BS323" s="1"/>
      <c r="CD323" s="84"/>
      <c r="CE323" s="84"/>
      <c r="CF323" s="84"/>
      <c r="CG323" s="84"/>
      <c r="CH323" s="84"/>
      <c r="CI323" s="84"/>
      <c r="CJ323" s="84"/>
      <c r="CK323" s="84"/>
      <c r="CL323" s="84"/>
      <c r="CM323" s="84"/>
      <c r="CN323" s="84"/>
      <c r="CO323" s="84"/>
      <c r="CP323" s="84"/>
      <c r="CQ323" s="84"/>
      <c r="CR323" s="84"/>
      <c r="CS323" s="84"/>
      <c r="CT323" s="84"/>
      <c r="CU323" s="84"/>
      <c r="CV323" s="84"/>
      <c r="CW323" s="84"/>
      <c r="CX323" s="84"/>
      <c r="CY323" s="84"/>
      <c r="CZ323" s="84"/>
      <c r="DA323" s="84"/>
      <c r="DB323" s="84"/>
      <c r="DC323" s="84"/>
      <c r="DD323" s="84"/>
    </row>
    <row r="324" spans="1:108" ht="7.5" customHeight="1" x14ac:dyDescent="0.25">
      <c r="A324" s="1"/>
      <c r="B324" s="6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5"/>
      <c r="Q324" s="420" t="s">
        <v>1296</v>
      </c>
      <c r="R324" s="352"/>
      <c r="S324" s="352"/>
      <c r="T324" s="352"/>
      <c r="U324" s="352"/>
      <c r="V324" s="130"/>
      <c r="W324" s="130"/>
      <c r="X324" s="130"/>
      <c r="Y324" s="130"/>
      <c r="Z324" s="130"/>
      <c r="AA324" s="130"/>
      <c r="AB324" s="130"/>
      <c r="AC324" s="130"/>
      <c r="AD324" s="130"/>
      <c r="AE324" s="130"/>
      <c r="AF324" s="130"/>
      <c r="AG324" s="130"/>
      <c r="AH324" s="130"/>
      <c r="AI324" s="130"/>
      <c r="AJ324" s="130"/>
      <c r="AK324" s="130"/>
      <c r="AL324" s="130"/>
      <c r="AM324" s="130"/>
      <c r="AN324" s="130"/>
      <c r="AO324" s="130"/>
      <c r="AP324" s="130"/>
      <c r="AQ324" s="411"/>
      <c r="AR324" s="334"/>
      <c r="AS324" s="273"/>
      <c r="AT324" s="273"/>
      <c r="AU324" s="273"/>
      <c r="AV324" s="273"/>
      <c r="AW324" s="273"/>
      <c r="AX324" s="273"/>
      <c r="AY324" s="273"/>
      <c r="AZ324" s="273"/>
      <c r="BA324" s="273"/>
      <c r="BB324" s="273"/>
      <c r="BC324" s="273"/>
      <c r="BD324" s="273"/>
      <c r="BE324" s="273"/>
      <c r="BF324" s="273"/>
      <c r="BG324" s="273"/>
      <c r="BH324" s="273"/>
      <c r="BI324" s="273"/>
      <c r="BJ324" s="273"/>
      <c r="BK324" s="335"/>
      <c r="BL324" s="1"/>
      <c r="BM324" s="1"/>
      <c r="BN324" s="1"/>
      <c r="BO324" s="1"/>
      <c r="BP324" s="1"/>
      <c r="BQ324" s="1"/>
      <c r="BR324" s="1"/>
      <c r="BS324" s="1"/>
      <c r="CD324" s="84"/>
      <c r="CE324" s="84"/>
      <c r="CF324" s="84"/>
      <c r="CG324" s="84"/>
      <c r="CH324" s="84"/>
      <c r="CI324" s="84"/>
      <c r="CJ324" s="84"/>
      <c r="CK324" s="84"/>
      <c r="CL324" s="84"/>
      <c r="CM324" s="84"/>
      <c r="CN324" s="84"/>
      <c r="CO324" s="84"/>
      <c r="CP324" s="84"/>
      <c r="CQ324" s="84"/>
      <c r="CR324" s="84"/>
      <c r="CS324" s="84"/>
      <c r="CT324" s="84"/>
      <c r="CU324" s="84"/>
      <c r="CV324" s="84"/>
      <c r="CW324" s="84"/>
      <c r="CX324" s="84"/>
      <c r="CY324" s="84"/>
      <c r="CZ324" s="84"/>
      <c r="DA324" s="84"/>
      <c r="DB324" s="84"/>
      <c r="DC324" s="84"/>
      <c r="DD324" s="84"/>
    </row>
    <row r="325" spans="1:108" ht="7.5" customHeight="1" x14ac:dyDescent="0.25">
      <c r="A325" s="1"/>
      <c r="B325" s="79"/>
      <c r="C325" s="409" t="s">
        <v>1275</v>
      </c>
      <c r="D325" s="409"/>
      <c r="E325" s="409"/>
      <c r="F325" s="409"/>
      <c r="G325" s="409"/>
      <c r="H325" s="409"/>
      <c r="I325" s="409"/>
      <c r="J325" s="409"/>
      <c r="K325" s="409"/>
      <c r="L325" s="409"/>
      <c r="M325" s="409"/>
      <c r="N325" s="17"/>
      <c r="O325" s="17"/>
      <c r="P325" s="18"/>
      <c r="Q325" s="420"/>
      <c r="R325" s="352"/>
      <c r="S325" s="352"/>
      <c r="T325" s="352"/>
      <c r="U325" s="352"/>
      <c r="V325" s="130"/>
      <c r="W325" s="130"/>
      <c r="X325" s="130"/>
      <c r="Y325" s="130"/>
      <c r="Z325" s="130"/>
      <c r="AA325" s="130"/>
      <c r="AB325" s="130"/>
      <c r="AC325" s="130"/>
      <c r="AD325" s="130"/>
      <c r="AE325" s="130"/>
      <c r="AF325" s="130"/>
      <c r="AG325" s="130"/>
      <c r="AH325" s="130"/>
      <c r="AI325" s="130"/>
      <c r="AJ325" s="130"/>
      <c r="AK325" s="130"/>
      <c r="AL325" s="130"/>
      <c r="AM325" s="130"/>
      <c r="AN325" s="130"/>
      <c r="AO325" s="130"/>
      <c r="AP325" s="130"/>
      <c r="AQ325" s="411"/>
      <c r="AR325" s="334"/>
      <c r="AS325" s="273"/>
      <c r="AT325" s="273"/>
      <c r="AU325" s="273"/>
      <c r="AV325" s="273"/>
      <c r="AW325" s="273"/>
      <c r="AX325" s="273"/>
      <c r="AY325" s="273"/>
      <c r="AZ325" s="273"/>
      <c r="BA325" s="273"/>
      <c r="BB325" s="273"/>
      <c r="BC325" s="273"/>
      <c r="BD325" s="273"/>
      <c r="BE325" s="273"/>
      <c r="BF325" s="273"/>
      <c r="BG325" s="273"/>
      <c r="BH325" s="273"/>
      <c r="BI325" s="273"/>
      <c r="BJ325" s="273"/>
      <c r="BK325" s="335"/>
      <c r="BL325" s="1"/>
      <c r="BM325" s="1"/>
      <c r="BN325" s="1"/>
      <c r="BO325" s="1"/>
      <c r="BP325" s="1"/>
      <c r="BQ325" s="1"/>
      <c r="BR325" s="1"/>
      <c r="BS325" s="1"/>
      <c r="CD325" s="84"/>
      <c r="CE325" s="84"/>
      <c r="CF325" s="84"/>
      <c r="CG325" s="84"/>
      <c r="CH325" s="84"/>
      <c r="CI325" s="84"/>
      <c r="CJ325" s="84"/>
      <c r="CK325" s="84"/>
      <c r="CL325" s="84"/>
      <c r="CM325" s="84"/>
      <c r="CN325" s="84"/>
      <c r="CO325" s="84"/>
      <c r="CP325" s="84"/>
      <c r="CQ325" s="84"/>
      <c r="CR325" s="84"/>
      <c r="CS325" s="84"/>
      <c r="CT325" s="84"/>
      <c r="CU325" s="84"/>
      <c r="CV325" s="84"/>
      <c r="CW325" s="84"/>
      <c r="CX325" s="84"/>
      <c r="CY325" s="84"/>
      <c r="CZ325" s="84"/>
      <c r="DA325" s="84"/>
      <c r="DB325" s="84"/>
      <c r="DC325" s="84"/>
      <c r="DD325" s="84"/>
    </row>
    <row r="326" spans="1:108" ht="7.5" customHeight="1" x14ac:dyDescent="0.25">
      <c r="A326" s="1"/>
      <c r="B326" s="79"/>
      <c r="C326" s="409"/>
      <c r="D326" s="409"/>
      <c r="E326" s="409"/>
      <c r="F326" s="409"/>
      <c r="G326" s="409"/>
      <c r="H326" s="409"/>
      <c r="I326" s="409"/>
      <c r="J326" s="409"/>
      <c r="K326" s="409"/>
      <c r="L326" s="409"/>
      <c r="M326" s="409"/>
      <c r="N326" s="17"/>
      <c r="O326" s="17"/>
      <c r="P326" s="18"/>
      <c r="Q326" s="79"/>
      <c r="R326" s="17"/>
      <c r="S326" s="17"/>
      <c r="T326" s="17"/>
      <c r="U326" s="17"/>
      <c r="V326" s="130"/>
      <c r="W326" s="130"/>
      <c r="X326" s="130"/>
      <c r="Y326" s="130"/>
      <c r="Z326" s="130"/>
      <c r="AA326" s="130"/>
      <c r="AB326" s="130"/>
      <c r="AC326" s="130"/>
      <c r="AD326" s="130"/>
      <c r="AE326" s="130"/>
      <c r="AF326" s="130"/>
      <c r="AG326" s="130"/>
      <c r="AH326" s="130"/>
      <c r="AI326" s="130"/>
      <c r="AJ326" s="130"/>
      <c r="AK326" s="130"/>
      <c r="AL326" s="130"/>
      <c r="AM326" s="130"/>
      <c r="AN326" s="130"/>
      <c r="AO326" s="130"/>
      <c r="AP326" s="130"/>
      <c r="AQ326" s="411"/>
      <c r="AR326" s="334"/>
      <c r="AS326" s="273"/>
      <c r="AT326" s="273"/>
      <c r="AU326" s="273"/>
      <c r="AV326" s="273"/>
      <c r="AW326" s="273"/>
      <c r="AX326" s="273"/>
      <c r="AY326" s="273"/>
      <c r="AZ326" s="273"/>
      <c r="BA326" s="273"/>
      <c r="BB326" s="273"/>
      <c r="BC326" s="273"/>
      <c r="BD326" s="273"/>
      <c r="BE326" s="273"/>
      <c r="BF326" s="273"/>
      <c r="BG326" s="273"/>
      <c r="BH326" s="273"/>
      <c r="BI326" s="273"/>
      <c r="BJ326" s="273"/>
      <c r="BK326" s="335"/>
      <c r="BL326" s="1"/>
      <c r="BM326" s="1"/>
      <c r="BN326" s="1"/>
      <c r="BO326" s="1"/>
      <c r="BP326" s="1"/>
      <c r="BQ326" s="1"/>
      <c r="BR326" s="1"/>
      <c r="BS326" s="1"/>
      <c r="CD326" s="84"/>
      <c r="CE326" s="84"/>
      <c r="CF326" s="84"/>
      <c r="CG326" s="84"/>
      <c r="CH326" s="84"/>
      <c r="CI326" s="84"/>
      <c r="CJ326" s="84"/>
      <c r="CK326" s="84"/>
      <c r="CL326" s="84"/>
      <c r="CM326" s="84"/>
      <c r="CN326" s="84"/>
      <c r="CO326" s="84"/>
      <c r="CP326" s="84"/>
      <c r="CQ326" s="84"/>
      <c r="CR326" s="84"/>
      <c r="CS326" s="84"/>
      <c r="CT326" s="84"/>
      <c r="CU326" s="84"/>
      <c r="CV326" s="84"/>
      <c r="CW326" s="84"/>
      <c r="CX326" s="84"/>
      <c r="CY326" s="84"/>
      <c r="CZ326" s="84"/>
      <c r="DA326" s="84"/>
      <c r="DB326" s="84"/>
      <c r="DC326" s="84"/>
      <c r="DD326" s="84"/>
    </row>
    <row r="327" spans="1:108" ht="7.5" customHeight="1" x14ac:dyDescent="0.25">
      <c r="A327" s="1"/>
      <c r="B327" s="79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8"/>
      <c r="Q327" s="79"/>
      <c r="R327" s="17"/>
      <c r="S327" s="17"/>
      <c r="T327" s="17"/>
      <c r="U327" s="17"/>
      <c r="V327" s="130"/>
      <c r="W327" s="130"/>
      <c r="X327" s="130"/>
      <c r="Y327" s="130"/>
      <c r="Z327" s="130"/>
      <c r="AA327" s="130"/>
      <c r="AB327" s="130"/>
      <c r="AC327" s="130"/>
      <c r="AD327" s="130"/>
      <c r="AE327" s="130"/>
      <c r="AF327" s="130"/>
      <c r="AG327" s="130"/>
      <c r="AH327" s="130"/>
      <c r="AI327" s="130"/>
      <c r="AJ327" s="130"/>
      <c r="AK327" s="130"/>
      <c r="AL327" s="130"/>
      <c r="AM327" s="130"/>
      <c r="AN327" s="130"/>
      <c r="AO327" s="130"/>
      <c r="AP327" s="130"/>
      <c r="AQ327" s="411"/>
      <c r="AR327" s="334"/>
      <c r="AS327" s="273"/>
      <c r="AT327" s="273"/>
      <c r="AU327" s="273"/>
      <c r="AV327" s="273"/>
      <c r="AW327" s="273"/>
      <c r="AX327" s="273"/>
      <c r="AY327" s="273"/>
      <c r="AZ327" s="273"/>
      <c r="BA327" s="273"/>
      <c r="BB327" s="273"/>
      <c r="BC327" s="273"/>
      <c r="BD327" s="273"/>
      <c r="BE327" s="273"/>
      <c r="BF327" s="273"/>
      <c r="BG327" s="273"/>
      <c r="BH327" s="273"/>
      <c r="BI327" s="273"/>
      <c r="BJ327" s="273"/>
      <c r="BK327" s="335"/>
      <c r="BL327" s="1"/>
      <c r="BM327" s="1"/>
      <c r="BN327" s="1"/>
      <c r="BO327" s="1"/>
      <c r="BP327" s="1"/>
      <c r="BQ327" s="1"/>
      <c r="BR327" s="1"/>
      <c r="BS327" s="1"/>
      <c r="CD327" s="84"/>
      <c r="CE327" s="84"/>
      <c r="CF327" s="84"/>
      <c r="CG327" s="84"/>
      <c r="CH327" s="84"/>
      <c r="CI327" s="84"/>
      <c r="CJ327" s="84"/>
      <c r="CK327" s="84"/>
      <c r="CL327" s="84"/>
      <c r="CM327" s="84"/>
      <c r="CN327" s="84"/>
      <c r="CO327" s="84"/>
      <c r="CP327" s="84"/>
      <c r="CQ327" s="84"/>
      <c r="CR327" s="84"/>
      <c r="CS327" s="84"/>
      <c r="CT327" s="84"/>
      <c r="CU327" s="84"/>
      <c r="CV327" s="84"/>
      <c r="CW327" s="84"/>
      <c r="CX327" s="84"/>
      <c r="CY327" s="84"/>
      <c r="CZ327" s="84"/>
      <c r="DA327" s="84"/>
      <c r="DB327" s="84"/>
      <c r="DC327" s="84"/>
      <c r="DD327" s="84"/>
    </row>
    <row r="328" spans="1:108" ht="7.5" customHeight="1" x14ac:dyDescent="0.25">
      <c r="A328" s="1"/>
      <c r="B328" s="79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8"/>
      <c r="Q328" s="79"/>
      <c r="R328" s="17"/>
      <c r="S328" s="17"/>
      <c r="T328" s="17"/>
      <c r="U328" s="17"/>
      <c r="V328" s="130"/>
      <c r="W328" s="130"/>
      <c r="X328" s="130"/>
      <c r="Y328" s="130"/>
      <c r="Z328" s="130"/>
      <c r="AA328" s="130"/>
      <c r="AB328" s="130"/>
      <c r="AC328" s="130"/>
      <c r="AD328" s="130"/>
      <c r="AE328" s="130"/>
      <c r="AF328" s="130"/>
      <c r="AG328" s="130"/>
      <c r="AH328" s="130"/>
      <c r="AI328" s="130"/>
      <c r="AJ328" s="130"/>
      <c r="AK328" s="130"/>
      <c r="AL328" s="130"/>
      <c r="AM328" s="130"/>
      <c r="AN328" s="130"/>
      <c r="AO328" s="130"/>
      <c r="AP328" s="130"/>
      <c r="AQ328" s="411"/>
      <c r="AR328" s="334"/>
      <c r="AS328" s="273"/>
      <c r="AT328" s="273"/>
      <c r="AU328" s="273"/>
      <c r="AV328" s="273"/>
      <c r="AW328" s="273"/>
      <c r="AX328" s="273"/>
      <c r="AY328" s="273"/>
      <c r="AZ328" s="273"/>
      <c r="BA328" s="273"/>
      <c r="BB328" s="273"/>
      <c r="BC328" s="273"/>
      <c r="BD328" s="273"/>
      <c r="BE328" s="273"/>
      <c r="BF328" s="273"/>
      <c r="BG328" s="273"/>
      <c r="BH328" s="273"/>
      <c r="BI328" s="273"/>
      <c r="BJ328" s="273"/>
      <c r="BK328" s="335"/>
      <c r="BL328" s="1"/>
      <c r="BM328" s="1"/>
      <c r="BN328" s="1"/>
      <c r="BO328" s="1"/>
      <c r="BP328" s="1"/>
      <c r="BQ328" s="1"/>
      <c r="BR328" s="1"/>
      <c r="BS328" s="1"/>
      <c r="CD328" s="84"/>
      <c r="CE328" s="84"/>
      <c r="CF328" s="84"/>
      <c r="CG328" s="84"/>
      <c r="CH328" s="84"/>
      <c r="CI328" s="84"/>
      <c r="CJ328" s="84"/>
      <c r="CK328" s="84"/>
      <c r="CL328" s="84"/>
      <c r="CM328" s="84"/>
      <c r="CN328" s="84"/>
      <c r="CO328" s="84"/>
      <c r="CP328" s="84"/>
      <c r="CQ328" s="84"/>
      <c r="CR328" s="84"/>
      <c r="CS328" s="84"/>
      <c r="CT328" s="84"/>
      <c r="CU328" s="84"/>
      <c r="CV328" s="84"/>
      <c r="CW328" s="84"/>
      <c r="CX328" s="84"/>
      <c r="CY328" s="84"/>
      <c r="CZ328" s="84"/>
      <c r="DA328" s="84"/>
      <c r="DB328" s="84"/>
      <c r="DC328" s="84"/>
      <c r="DD328" s="84"/>
    </row>
    <row r="329" spans="1:108" ht="7.5" customHeight="1" x14ac:dyDescent="0.25">
      <c r="A329" s="1"/>
      <c r="B329" s="80"/>
      <c r="C329" s="157"/>
      <c r="D329" s="119"/>
      <c r="E329" s="99" t="s">
        <v>1293</v>
      </c>
      <c r="F329" s="100"/>
      <c r="G329" s="17"/>
      <c r="H329" s="17"/>
      <c r="I329" s="219"/>
      <c r="J329" s="221"/>
      <c r="K329" s="99" t="s">
        <v>1294</v>
      </c>
      <c r="L329" s="100"/>
      <c r="M329" s="100"/>
      <c r="N329" s="4"/>
      <c r="O329" s="4"/>
      <c r="P329" s="81"/>
      <c r="Q329" s="80"/>
      <c r="R329" s="4"/>
      <c r="S329" s="4"/>
      <c r="T329" s="4"/>
      <c r="U329" s="4"/>
      <c r="V329" s="130"/>
      <c r="W329" s="130"/>
      <c r="X329" s="130"/>
      <c r="Y329" s="130"/>
      <c r="Z329" s="130"/>
      <c r="AA329" s="130"/>
      <c r="AB329" s="130"/>
      <c r="AC329" s="130"/>
      <c r="AD329" s="130"/>
      <c r="AE329" s="130"/>
      <c r="AF329" s="130"/>
      <c r="AG329" s="130"/>
      <c r="AH329" s="130"/>
      <c r="AI329" s="130"/>
      <c r="AJ329" s="130"/>
      <c r="AK329" s="130"/>
      <c r="AL329" s="130"/>
      <c r="AM329" s="130"/>
      <c r="AN329" s="130"/>
      <c r="AO329" s="130"/>
      <c r="AP329" s="130"/>
      <c r="AQ329" s="411"/>
      <c r="AR329" s="334"/>
      <c r="AS329" s="273"/>
      <c r="AT329" s="273"/>
      <c r="AU329" s="273"/>
      <c r="AV329" s="273"/>
      <c r="AW329" s="273"/>
      <c r="AX329" s="273"/>
      <c r="AY329" s="273"/>
      <c r="AZ329" s="273"/>
      <c r="BA329" s="273"/>
      <c r="BB329" s="273"/>
      <c r="BC329" s="273"/>
      <c r="BD329" s="273"/>
      <c r="BE329" s="273"/>
      <c r="BF329" s="273"/>
      <c r="BG329" s="273"/>
      <c r="BH329" s="273"/>
      <c r="BI329" s="273"/>
      <c r="BJ329" s="273"/>
      <c r="BK329" s="335"/>
      <c r="BL329" s="1"/>
      <c r="BM329" s="1"/>
      <c r="BN329" s="1"/>
      <c r="BO329" s="1"/>
      <c r="BP329" s="1"/>
      <c r="BQ329" s="1"/>
      <c r="BR329" s="1"/>
      <c r="BS329" s="1"/>
      <c r="CD329" s="84"/>
      <c r="CE329" s="84"/>
      <c r="CF329" s="84"/>
      <c r="CG329" s="84"/>
      <c r="CH329" s="84"/>
      <c r="CI329" s="84"/>
      <c r="CJ329" s="84"/>
      <c r="CK329" s="84"/>
      <c r="CL329" s="84"/>
      <c r="CM329" s="84"/>
      <c r="CN329" s="84"/>
      <c r="CO329" s="84"/>
      <c r="CP329" s="84"/>
      <c r="CQ329" s="84"/>
      <c r="CR329" s="84"/>
      <c r="CS329" s="84"/>
      <c r="CT329" s="84"/>
      <c r="CU329" s="84"/>
      <c r="CV329" s="84"/>
      <c r="CW329" s="84"/>
      <c r="CX329" s="84"/>
      <c r="CY329" s="84"/>
      <c r="CZ329" s="84"/>
      <c r="DA329" s="84"/>
      <c r="DB329" s="84"/>
      <c r="DC329" s="84"/>
      <c r="DD329" s="84"/>
    </row>
    <row r="330" spans="1:108" ht="7.5" customHeight="1" x14ac:dyDescent="0.25">
      <c r="A330" s="1"/>
      <c r="B330" s="80"/>
      <c r="C330" s="161"/>
      <c r="D330" s="125"/>
      <c r="E330" s="99"/>
      <c r="F330" s="100"/>
      <c r="G330" s="17"/>
      <c r="H330" s="17"/>
      <c r="I330" s="102"/>
      <c r="J330" s="104"/>
      <c r="K330" s="99"/>
      <c r="L330" s="100"/>
      <c r="M330" s="100"/>
      <c r="N330" s="4"/>
      <c r="O330" s="4"/>
      <c r="P330" s="81"/>
      <c r="Q330" s="354" t="s">
        <v>1299</v>
      </c>
      <c r="R330" s="355"/>
      <c r="S330" s="355"/>
      <c r="T330" s="355"/>
      <c r="U330" s="408">
        <v>44173</v>
      </c>
      <c r="V330" s="327"/>
      <c r="W330" s="327"/>
      <c r="X330" s="327"/>
      <c r="Y330" s="327"/>
      <c r="Z330" s="327"/>
      <c r="AA330" s="327"/>
      <c r="AB330" s="327"/>
      <c r="AC330" s="327"/>
      <c r="AD330" s="327"/>
      <c r="AE330" s="327"/>
      <c r="AF330" s="327"/>
      <c r="AG330" s="327"/>
      <c r="AH330" s="327"/>
      <c r="AI330" s="327"/>
      <c r="AJ330" s="327"/>
      <c r="AK330" s="327"/>
      <c r="AL330" s="327"/>
      <c r="AM330" s="327"/>
      <c r="AN330" s="327"/>
      <c r="AO330" s="327"/>
      <c r="AP330" s="327"/>
      <c r="AQ330" s="328"/>
      <c r="AR330" s="334"/>
      <c r="AS330" s="273"/>
      <c r="AT330" s="273"/>
      <c r="AU330" s="273"/>
      <c r="AV330" s="273"/>
      <c r="AW330" s="273"/>
      <c r="AX330" s="273"/>
      <c r="AY330" s="273"/>
      <c r="AZ330" s="273"/>
      <c r="BA330" s="273"/>
      <c r="BB330" s="273"/>
      <c r="BC330" s="273"/>
      <c r="BD330" s="273"/>
      <c r="BE330" s="273"/>
      <c r="BF330" s="273"/>
      <c r="BG330" s="273"/>
      <c r="BH330" s="273"/>
      <c r="BI330" s="273"/>
      <c r="BJ330" s="273"/>
      <c r="BK330" s="335"/>
      <c r="BL330" s="1"/>
      <c r="BM330" s="1"/>
      <c r="BN330" s="1"/>
      <c r="BO330" s="1"/>
      <c r="BP330" s="1"/>
      <c r="BQ330" s="1"/>
      <c r="BR330" s="1"/>
      <c r="BS330" s="1"/>
      <c r="CD330" s="84"/>
      <c r="CE330" s="84"/>
      <c r="CF330" s="84"/>
      <c r="CG330" s="84"/>
      <c r="CH330" s="84"/>
      <c r="CI330" s="84"/>
      <c r="CJ330" s="84"/>
      <c r="CK330" s="84"/>
      <c r="CL330" s="84"/>
      <c r="CM330" s="84"/>
      <c r="CN330" s="84"/>
      <c r="CO330" s="84"/>
      <c r="CP330" s="84"/>
      <c r="CQ330" s="84"/>
      <c r="CR330" s="84"/>
      <c r="CS330" s="84"/>
      <c r="CT330" s="84"/>
      <c r="CU330" s="84"/>
      <c r="CV330" s="84"/>
      <c r="CW330" s="84"/>
      <c r="CX330" s="84"/>
      <c r="CY330" s="84"/>
      <c r="CZ330" s="84"/>
      <c r="DA330" s="84"/>
      <c r="DB330" s="84"/>
      <c r="DC330" s="84"/>
      <c r="DD330" s="84"/>
    </row>
    <row r="331" spans="1:108" ht="7.5" customHeight="1" x14ac:dyDescent="0.25">
      <c r="A331" s="1"/>
      <c r="B331" s="80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81"/>
      <c r="Q331" s="354"/>
      <c r="R331" s="355"/>
      <c r="S331" s="355"/>
      <c r="T331" s="355"/>
      <c r="U331" s="327"/>
      <c r="V331" s="327"/>
      <c r="W331" s="327"/>
      <c r="X331" s="327"/>
      <c r="Y331" s="327"/>
      <c r="Z331" s="327"/>
      <c r="AA331" s="327"/>
      <c r="AB331" s="327"/>
      <c r="AC331" s="327"/>
      <c r="AD331" s="327"/>
      <c r="AE331" s="327"/>
      <c r="AF331" s="327"/>
      <c r="AG331" s="327"/>
      <c r="AH331" s="327"/>
      <c r="AI331" s="327"/>
      <c r="AJ331" s="327"/>
      <c r="AK331" s="327"/>
      <c r="AL331" s="327"/>
      <c r="AM331" s="327"/>
      <c r="AN331" s="327"/>
      <c r="AO331" s="327"/>
      <c r="AP331" s="327"/>
      <c r="AQ331" s="328"/>
      <c r="AR331" s="334"/>
      <c r="AS331" s="273"/>
      <c r="AT331" s="273"/>
      <c r="AU331" s="273"/>
      <c r="AV331" s="273"/>
      <c r="AW331" s="273"/>
      <c r="AX331" s="273"/>
      <c r="AY331" s="273"/>
      <c r="AZ331" s="273"/>
      <c r="BA331" s="273"/>
      <c r="BB331" s="273"/>
      <c r="BC331" s="273"/>
      <c r="BD331" s="273"/>
      <c r="BE331" s="273"/>
      <c r="BF331" s="273"/>
      <c r="BG331" s="273"/>
      <c r="BH331" s="273"/>
      <c r="BI331" s="273"/>
      <c r="BJ331" s="273"/>
      <c r="BK331" s="335"/>
      <c r="BL331" s="1"/>
      <c r="BM331" s="1"/>
      <c r="BN331" s="1"/>
      <c r="BO331" s="1"/>
      <c r="BP331" s="1"/>
      <c r="BQ331" s="1"/>
      <c r="BR331" s="1"/>
      <c r="BS331" s="1"/>
      <c r="CD331" s="84"/>
      <c r="CE331" s="84"/>
      <c r="CF331" s="84"/>
      <c r="CG331" s="84"/>
      <c r="CH331" s="84"/>
      <c r="CI331" s="84"/>
      <c r="CJ331" s="84"/>
      <c r="CK331" s="84"/>
      <c r="CL331" s="84"/>
      <c r="CM331" s="84"/>
      <c r="CN331" s="84"/>
      <c r="CO331" s="84"/>
      <c r="CP331" s="84"/>
      <c r="CQ331" s="84"/>
      <c r="CR331" s="84"/>
      <c r="CS331" s="84"/>
      <c r="CT331" s="84"/>
      <c r="CU331" s="84"/>
      <c r="CV331" s="84"/>
      <c r="CW331" s="84"/>
      <c r="CX331" s="84"/>
      <c r="CY331" s="84"/>
      <c r="CZ331" s="84"/>
      <c r="DA331" s="84"/>
      <c r="DB331" s="84"/>
      <c r="DC331" s="84"/>
      <c r="DD331" s="84"/>
    </row>
    <row r="332" spans="1:108" ht="7.5" customHeight="1" x14ac:dyDescent="0.25">
      <c r="A332" s="1"/>
      <c r="B332" s="80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81"/>
      <c r="Q332" s="80"/>
      <c r="R332" s="4"/>
      <c r="S332" s="4"/>
      <c r="T332" s="4"/>
      <c r="U332" s="327"/>
      <c r="V332" s="327"/>
      <c r="W332" s="327"/>
      <c r="X332" s="327"/>
      <c r="Y332" s="327"/>
      <c r="Z332" s="327"/>
      <c r="AA332" s="327"/>
      <c r="AB332" s="327"/>
      <c r="AC332" s="327"/>
      <c r="AD332" s="327"/>
      <c r="AE332" s="327"/>
      <c r="AF332" s="327"/>
      <c r="AG332" s="327"/>
      <c r="AH332" s="327"/>
      <c r="AI332" s="327"/>
      <c r="AJ332" s="327"/>
      <c r="AK332" s="327"/>
      <c r="AL332" s="327"/>
      <c r="AM332" s="327"/>
      <c r="AN332" s="327"/>
      <c r="AO332" s="327"/>
      <c r="AP332" s="327"/>
      <c r="AQ332" s="328"/>
      <c r="AR332" s="334"/>
      <c r="AS332" s="273"/>
      <c r="AT332" s="273"/>
      <c r="AU332" s="273"/>
      <c r="AV332" s="273"/>
      <c r="AW332" s="273"/>
      <c r="AX332" s="273"/>
      <c r="AY332" s="273"/>
      <c r="AZ332" s="273"/>
      <c r="BA332" s="273"/>
      <c r="BB332" s="273"/>
      <c r="BC332" s="273"/>
      <c r="BD332" s="273"/>
      <c r="BE332" s="273"/>
      <c r="BF332" s="273"/>
      <c r="BG332" s="273"/>
      <c r="BH332" s="273"/>
      <c r="BI332" s="273"/>
      <c r="BJ332" s="273"/>
      <c r="BK332" s="335"/>
      <c r="BL332" s="1"/>
      <c r="BM332" s="1"/>
      <c r="BN332" s="1"/>
      <c r="BO332" s="1"/>
      <c r="BP332" s="1"/>
      <c r="BQ332" s="1"/>
      <c r="BR332" s="1"/>
      <c r="BS332" s="1"/>
    </row>
    <row r="333" spans="1:108" ht="7.5" customHeight="1" x14ac:dyDescent="0.25">
      <c r="A333" s="1"/>
      <c r="B333" s="80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81"/>
      <c r="Q333" s="80"/>
      <c r="R333" s="4"/>
      <c r="S333" s="4"/>
      <c r="T333" s="4"/>
      <c r="U333" s="327"/>
      <c r="V333" s="327"/>
      <c r="W333" s="327"/>
      <c r="X333" s="327"/>
      <c r="Y333" s="327"/>
      <c r="Z333" s="327"/>
      <c r="AA333" s="327"/>
      <c r="AB333" s="327"/>
      <c r="AC333" s="327"/>
      <c r="AD333" s="327"/>
      <c r="AE333" s="327"/>
      <c r="AF333" s="327"/>
      <c r="AG333" s="327"/>
      <c r="AH333" s="327"/>
      <c r="AI333" s="327"/>
      <c r="AJ333" s="327"/>
      <c r="AK333" s="327"/>
      <c r="AL333" s="327"/>
      <c r="AM333" s="327"/>
      <c r="AN333" s="327"/>
      <c r="AO333" s="327"/>
      <c r="AP333" s="327"/>
      <c r="AQ333" s="328"/>
      <c r="AR333" s="334"/>
      <c r="AS333" s="273"/>
      <c r="AT333" s="273"/>
      <c r="AU333" s="273"/>
      <c r="AV333" s="273"/>
      <c r="AW333" s="273"/>
      <c r="AX333" s="273"/>
      <c r="AY333" s="273"/>
      <c r="AZ333" s="273"/>
      <c r="BA333" s="273"/>
      <c r="BB333" s="273"/>
      <c r="BC333" s="273"/>
      <c r="BD333" s="273"/>
      <c r="BE333" s="273"/>
      <c r="BF333" s="273"/>
      <c r="BG333" s="273"/>
      <c r="BH333" s="273"/>
      <c r="BI333" s="273"/>
      <c r="BJ333" s="273"/>
      <c r="BK333" s="335"/>
      <c r="BL333" s="1"/>
      <c r="BM333" s="1"/>
      <c r="BN333" s="1"/>
      <c r="BO333" s="1"/>
      <c r="BP333" s="1"/>
      <c r="BQ333" s="1"/>
      <c r="BR333" s="1"/>
      <c r="BS333" s="1"/>
    </row>
    <row r="334" spans="1:108" ht="7.5" customHeight="1" x14ac:dyDescent="0.25">
      <c r="A334" s="1"/>
      <c r="B334" s="10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9"/>
      <c r="Q334" s="10"/>
      <c r="R334" s="8"/>
      <c r="S334" s="8"/>
      <c r="T334" s="8"/>
      <c r="U334" s="8"/>
      <c r="V334" s="8"/>
      <c r="W334" s="8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59"/>
      <c r="AR334" s="336"/>
      <c r="AS334" s="274"/>
      <c r="AT334" s="274"/>
      <c r="AU334" s="274"/>
      <c r="AV334" s="274"/>
      <c r="AW334" s="274"/>
      <c r="AX334" s="274"/>
      <c r="AY334" s="274"/>
      <c r="AZ334" s="274"/>
      <c r="BA334" s="274"/>
      <c r="BB334" s="274"/>
      <c r="BC334" s="274"/>
      <c r="BD334" s="274"/>
      <c r="BE334" s="274"/>
      <c r="BF334" s="274"/>
      <c r="BG334" s="274"/>
      <c r="BH334" s="274"/>
      <c r="BI334" s="274"/>
      <c r="BJ334" s="274"/>
      <c r="BK334" s="337"/>
      <c r="BL334" s="1"/>
      <c r="BM334" s="1"/>
      <c r="BN334" s="1"/>
      <c r="BO334" s="1"/>
      <c r="BP334" s="1"/>
      <c r="BQ334" s="1"/>
      <c r="BR334" s="1"/>
      <c r="BS334" s="1"/>
    </row>
    <row r="335" spans="1:108" ht="7.5" customHeight="1" x14ac:dyDescent="0.25">
      <c r="A335" s="1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1"/>
      <c r="BM335" s="1"/>
      <c r="BN335" s="1"/>
      <c r="BO335" s="1"/>
      <c r="BP335" s="1"/>
      <c r="BQ335" s="1"/>
      <c r="BR335" s="1"/>
      <c r="BS335" s="1"/>
    </row>
    <row r="336" spans="1:108" ht="7.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</row>
    <row r="337" spans="1:71" ht="7.5" customHeight="1" x14ac:dyDescent="0.25">
      <c r="A337" s="1"/>
      <c r="B337" s="245" t="s">
        <v>1333</v>
      </c>
      <c r="C337" s="246"/>
      <c r="D337" s="246"/>
      <c r="E337" s="246"/>
      <c r="F337" s="246"/>
      <c r="G337" s="246"/>
      <c r="H337" s="246"/>
      <c r="I337" s="246"/>
      <c r="J337" s="246"/>
      <c r="K337" s="246"/>
      <c r="L337" s="246"/>
      <c r="M337" s="246"/>
      <c r="N337" s="246"/>
      <c r="O337" s="246"/>
      <c r="P337" s="246"/>
      <c r="Q337" s="246"/>
      <c r="R337" s="246"/>
      <c r="S337" s="246"/>
      <c r="T337" s="246"/>
      <c r="U337" s="246"/>
      <c r="V337" s="246"/>
      <c r="W337" s="247"/>
      <c r="X337" s="219" t="s">
        <v>1304</v>
      </c>
      <c r="Y337" s="220"/>
      <c r="Z337" s="220"/>
      <c r="AA337" s="220"/>
      <c r="AB337" s="220"/>
      <c r="AC337" s="220"/>
      <c r="AD337" s="220"/>
      <c r="AE337" s="60"/>
      <c r="AF337" s="60"/>
      <c r="AG337" s="60"/>
      <c r="AH337" s="60"/>
      <c r="AI337" s="60"/>
      <c r="AJ337" s="60"/>
      <c r="AK337" s="60"/>
      <c r="AL337" s="60"/>
      <c r="AM337" s="60"/>
      <c r="AN337" s="60"/>
      <c r="AO337" s="60"/>
      <c r="AP337" s="60"/>
      <c r="AQ337" s="60"/>
      <c r="AR337" s="60"/>
      <c r="AS337" s="60"/>
      <c r="AT337" s="39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 t="s">
        <v>1271</v>
      </c>
      <c r="BN337" s="1"/>
      <c r="BO337" s="1"/>
      <c r="BP337" s="1"/>
      <c r="BQ337" s="1"/>
      <c r="BR337" s="1"/>
      <c r="BS337" s="1"/>
    </row>
    <row r="338" spans="1:71" ht="7.5" customHeight="1" x14ac:dyDescent="0.25">
      <c r="A338" s="1"/>
      <c r="B338" s="248"/>
      <c r="C338" s="249"/>
      <c r="D338" s="249"/>
      <c r="E338" s="249"/>
      <c r="F338" s="249"/>
      <c r="G338" s="249"/>
      <c r="H338" s="249"/>
      <c r="I338" s="249"/>
      <c r="J338" s="249"/>
      <c r="K338" s="249"/>
      <c r="L338" s="249"/>
      <c r="M338" s="249"/>
      <c r="N338" s="249"/>
      <c r="O338" s="249"/>
      <c r="P338" s="249"/>
      <c r="Q338" s="249"/>
      <c r="R338" s="249"/>
      <c r="S338" s="249"/>
      <c r="T338" s="249"/>
      <c r="U338" s="249"/>
      <c r="V338" s="249"/>
      <c r="W338" s="250"/>
      <c r="X338" s="99"/>
      <c r="Y338" s="100"/>
      <c r="Z338" s="100"/>
      <c r="AA338" s="100"/>
      <c r="AB338" s="100"/>
      <c r="AC338" s="100"/>
      <c r="AD338" s="100"/>
      <c r="AE338" s="1"/>
      <c r="AF338" s="157" t="str">
        <f>IF(BM337="YES","X"," ")</f>
        <v xml:space="preserve"> </v>
      </c>
      <c r="AG338" s="119"/>
      <c r="AH338" s="334" t="s">
        <v>1272</v>
      </c>
      <c r="AI338" s="273"/>
      <c r="AJ338" s="273"/>
      <c r="AK338" s="273"/>
      <c r="AL338" s="1"/>
      <c r="AM338" s="1"/>
      <c r="AN338" s="157" t="str">
        <f>IF(BM337="NO","X"," ")</f>
        <v>X</v>
      </c>
      <c r="AO338" s="119"/>
      <c r="AP338" s="334" t="s">
        <v>1273</v>
      </c>
      <c r="AQ338" s="273"/>
      <c r="AR338" s="273"/>
      <c r="AS338" s="1"/>
      <c r="AT338" s="5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 t="s">
        <v>1271</v>
      </c>
      <c r="BN338" s="1"/>
      <c r="BO338" s="1"/>
      <c r="BP338" s="1"/>
      <c r="BQ338" s="1"/>
      <c r="BR338" s="1"/>
      <c r="BS338" s="1"/>
    </row>
    <row r="339" spans="1:71" ht="7.5" customHeight="1" x14ac:dyDescent="0.25">
      <c r="A339" s="1"/>
      <c r="B339" s="248"/>
      <c r="C339" s="249"/>
      <c r="D339" s="249"/>
      <c r="E339" s="249"/>
      <c r="F339" s="249"/>
      <c r="G339" s="249"/>
      <c r="H339" s="249"/>
      <c r="I339" s="249"/>
      <c r="J339" s="249"/>
      <c r="K339" s="249"/>
      <c r="L339" s="249"/>
      <c r="M339" s="249"/>
      <c r="N339" s="249"/>
      <c r="O339" s="249"/>
      <c r="P339" s="249"/>
      <c r="Q339" s="249"/>
      <c r="R339" s="249"/>
      <c r="S339" s="249"/>
      <c r="T339" s="249"/>
      <c r="U339" s="249"/>
      <c r="V339" s="249"/>
      <c r="W339" s="250"/>
      <c r="X339" s="99"/>
      <c r="Y339" s="100"/>
      <c r="Z339" s="100"/>
      <c r="AA339" s="100"/>
      <c r="AB339" s="100"/>
      <c r="AC339" s="100"/>
      <c r="AD339" s="100"/>
      <c r="AE339" s="1"/>
      <c r="AF339" s="161"/>
      <c r="AG339" s="125"/>
      <c r="AH339" s="334"/>
      <c r="AI339" s="273"/>
      <c r="AJ339" s="273"/>
      <c r="AK339" s="273"/>
      <c r="AL339" s="1"/>
      <c r="AM339" s="1"/>
      <c r="AN339" s="161"/>
      <c r="AO339" s="125"/>
      <c r="AP339" s="334"/>
      <c r="AQ339" s="273"/>
      <c r="AR339" s="273"/>
      <c r="AS339" s="1"/>
      <c r="AT339" s="5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</row>
    <row r="340" spans="1:71" ht="7.5" customHeight="1" x14ac:dyDescent="0.25">
      <c r="A340" s="1"/>
      <c r="B340" s="248"/>
      <c r="C340" s="249"/>
      <c r="D340" s="249"/>
      <c r="E340" s="249"/>
      <c r="F340" s="249"/>
      <c r="G340" s="249"/>
      <c r="H340" s="249"/>
      <c r="I340" s="249"/>
      <c r="J340" s="249"/>
      <c r="K340" s="249"/>
      <c r="L340" s="249"/>
      <c r="M340" s="249"/>
      <c r="N340" s="249"/>
      <c r="O340" s="249"/>
      <c r="P340" s="249"/>
      <c r="Q340" s="249"/>
      <c r="R340" s="249"/>
      <c r="S340" s="249"/>
      <c r="T340" s="249"/>
      <c r="U340" s="249"/>
      <c r="V340" s="249"/>
      <c r="W340" s="250"/>
      <c r="X340" s="99"/>
      <c r="Y340" s="100"/>
      <c r="Z340" s="100"/>
      <c r="AA340" s="100"/>
      <c r="AB340" s="100"/>
      <c r="AC340" s="100"/>
      <c r="AD340" s="100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5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</row>
    <row r="341" spans="1:71" ht="7.5" customHeight="1" x14ac:dyDescent="0.25">
      <c r="A341" s="1"/>
      <c r="B341" s="359" t="s">
        <v>1334</v>
      </c>
      <c r="C341" s="360"/>
      <c r="D341" s="360"/>
      <c r="E341" s="360"/>
      <c r="F341" s="360"/>
      <c r="G341" s="360"/>
      <c r="H341" s="360"/>
      <c r="I341" s="360"/>
      <c r="J341" s="360"/>
      <c r="K341" s="360"/>
      <c r="L341" s="361"/>
      <c r="M341" s="413" t="s">
        <v>1275</v>
      </c>
      <c r="N341" s="414"/>
      <c r="O341" s="414"/>
      <c r="P341" s="414"/>
      <c r="Q341" s="414"/>
      <c r="R341" s="414"/>
      <c r="S341" s="414"/>
      <c r="T341" s="414"/>
      <c r="U341" s="414"/>
      <c r="V341" s="414"/>
      <c r="W341" s="414"/>
      <c r="X341" s="414"/>
      <c r="Y341" s="414"/>
      <c r="Z341" s="414"/>
      <c r="AA341" s="415"/>
      <c r="AB341" s="418" t="s">
        <v>1296</v>
      </c>
      <c r="AC341" s="419"/>
      <c r="AD341" s="419"/>
      <c r="AE341" s="419"/>
      <c r="AF341" s="419"/>
      <c r="AG341" s="275"/>
      <c r="AH341" s="275"/>
      <c r="AI341" s="275"/>
      <c r="AJ341" s="275"/>
      <c r="AK341" s="275"/>
      <c r="AL341" s="275"/>
      <c r="AM341" s="275"/>
      <c r="AN341" s="275"/>
      <c r="AO341" s="275"/>
      <c r="AP341" s="275"/>
      <c r="AQ341" s="275"/>
      <c r="AR341" s="275"/>
      <c r="AS341" s="275"/>
      <c r="AT341" s="275"/>
      <c r="AU341" s="275"/>
      <c r="AV341" s="275"/>
      <c r="AW341" s="275"/>
      <c r="AX341" s="275"/>
      <c r="AY341" s="275"/>
      <c r="AZ341" s="275"/>
      <c r="BA341" s="275"/>
      <c r="BB341" s="275"/>
      <c r="BC341" s="275"/>
      <c r="BD341" s="275"/>
      <c r="BE341" s="275"/>
      <c r="BF341" s="275"/>
      <c r="BG341" s="275"/>
      <c r="BH341" s="275"/>
      <c r="BI341" s="275"/>
      <c r="BJ341" s="275"/>
      <c r="BK341" s="333"/>
      <c r="BL341" s="1"/>
      <c r="BM341" s="1"/>
      <c r="BN341" s="1"/>
      <c r="BO341" s="1"/>
      <c r="BP341" s="1"/>
      <c r="BQ341" s="1"/>
      <c r="BR341" s="1"/>
      <c r="BS341" s="1"/>
    </row>
    <row r="342" spans="1:71" ht="7.5" customHeight="1" x14ac:dyDescent="0.25">
      <c r="A342" s="1"/>
      <c r="B342" s="354"/>
      <c r="C342" s="355"/>
      <c r="D342" s="355"/>
      <c r="E342" s="355"/>
      <c r="F342" s="355"/>
      <c r="G342" s="355"/>
      <c r="H342" s="355"/>
      <c r="I342" s="355"/>
      <c r="J342" s="355"/>
      <c r="K342" s="355"/>
      <c r="L342" s="412"/>
      <c r="M342" s="416"/>
      <c r="N342" s="409"/>
      <c r="O342" s="409"/>
      <c r="P342" s="409"/>
      <c r="Q342" s="409"/>
      <c r="R342" s="409"/>
      <c r="S342" s="409"/>
      <c r="T342" s="409"/>
      <c r="U342" s="409"/>
      <c r="V342" s="409"/>
      <c r="W342" s="409"/>
      <c r="X342" s="409"/>
      <c r="Y342" s="409"/>
      <c r="Z342" s="409"/>
      <c r="AA342" s="417"/>
      <c r="AB342" s="420"/>
      <c r="AC342" s="352"/>
      <c r="AD342" s="352"/>
      <c r="AE342" s="352"/>
      <c r="AF342" s="352"/>
      <c r="AG342" s="273"/>
      <c r="AH342" s="273"/>
      <c r="AI342" s="273"/>
      <c r="AJ342" s="273"/>
      <c r="AK342" s="273"/>
      <c r="AL342" s="273"/>
      <c r="AM342" s="273"/>
      <c r="AN342" s="273"/>
      <c r="AO342" s="273"/>
      <c r="AP342" s="273"/>
      <c r="AQ342" s="273"/>
      <c r="AR342" s="273"/>
      <c r="AS342" s="273"/>
      <c r="AT342" s="273"/>
      <c r="AU342" s="273"/>
      <c r="AV342" s="273"/>
      <c r="AW342" s="273"/>
      <c r="AX342" s="273"/>
      <c r="AY342" s="273"/>
      <c r="AZ342" s="273"/>
      <c r="BA342" s="273"/>
      <c r="BB342" s="273"/>
      <c r="BC342" s="273"/>
      <c r="BD342" s="273"/>
      <c r="BE342" s="273"/>
      <c r="BF342" s="273"/>
      <c r="BG342" s="273"/>
      <c r="BH342" s="273"/>
      <c r="BI342" s="273"/>
      <c r="BJ342" s="273"/>
      <c r="BK342" s="335"/>
      <c r="BL342" s="1"/>
      <c r="BM342" s="1"/>
      <c r="BN342" s="1"/>
      <c r="BO342" s="1"/>
      <c r="BP342" s="1"/>
      <c r="BQ342" s="1"/>
      <c r="BR342" s="1"/>
      <c r="BS342" s="1"/>
    </row>
    <row r="343" spans="1:71" ht="7.5" customHeight="1" x14ac:dyDescent="0.25">
      <c r="A343" s="1"/>
      <c r="B343" s="354"/>
      <c r="C343" s="355"/>
      <c r="D343" s="355"/>
      <c r="E343" s="355"/>
      <c r="F343" s="355"/>
      <c r="G343" s="355"/>
      <c r="H343" s="355"/>
      <c r="I343" s="355"/>
      <c r="J343" s="355"/>
      <c r="K343" s="355"/>
      <c r="L343" s="412"/>
      <c r="M343" s="416"/>
      <c r="N343" s="409"/>
      <c r="O343" s="409"/>
      <c r="P343" s="409"/>
      <c r="Q343" s="409"/>
      <c r="R343" s="409"/>
      <c r="S343" s="409"/>
      <c r="T343" s="409"/>
      <c r="U343" s="409"/>
      <c r="V343" s="409"/>
      <c r="W343" s="409"/>
      <c r="X343" s="409"/>
      <c r="Y343" s="409"/>
      <c r="Z343" s="409"/>
      <c r="AA343" s="417"/>
      <c r="AB343" s="420"/>
      <c r="AC343" s="352"/>
      <c r="AD343" s="352"/>
      <c r="AE343" s="352"/>
      <c r="AF343" s="352"/>
      <c r="AG343" s="273"/>
      <c r="AH343" s="273"/>
      <c r="AI343" s="273"/>
      <c r="AJ343" s="273"/>
      <c r="AK343" s="273"/>
      <c r="AL343" s="273"/>
      <c r="AM343" s="273"/>
      <c r="AN343" s="273"/>
      <c r="AO343" s="273"/>
      <c r="AP343" s="273"/>
      <c r="AQ343" s="273"/>
      <c r="AR343" s="273"/>
      <c r="AS343" s="273"/>
      <c r="AT343" s="273"/>
      <c r="AU343" s="273"/>
      <c r="AV343" s="273"/>
      <c r="AW343" s="273"/>
      <c r="AX343" s="273"/>
      <c r="AY343" s="273"/>
      <c r="AZ343" s="273"/>
      <c r="BA343" s="273"/>
      <c r="BB343" s="273"/>
      <c r="BC343" s="273"/>
      <c r="BD343" s="273"/>
      <c r="BE343" s="273"/>
      <c r="BF343" s="273"/>
      <c r="BG343" s="273"/>
      <c r="BH343" s="273"/>
      <c r="BI343" s="273"/>
      <c r="BJ343" s="273"/>
      <c r="BK343" s="335"/>
      <c r="BL343" s="1"/>
      <c r="BM343" s="1"/>
      <c r="BN343" s="1"/>
      <c r="BO343" s="1"/>
      <c r="BP343" s="1"/>
      <c r="BQ343" s="1"/>
      <c r="BR343" s="1"/>
      <c r="BS343" s="1"/>
    </row>
    <row r="344" spans="1:71" ht="7.5" customHeight="1" x14ac:dyDescent="0.25">
      <c r="A344" s="1"/>
      <c r="B344" s="238" t="s">
        <v>1335</v>
      </c>
      <c r="C344" s="232"/>
      <c r="D344" s="232"/>
      <c r="E344" s="232"/>
      <c r="F344" s="232"/>
      <c r="G344" s="232"/>
      <c r="H344" s="232"/>
      <c r="I344" s="232"/>
      <c r="J344" s="232"/>
      <c r="K344" s="232"/>
      <c r="L344" s="421"/>
      <c r="M344" s="6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5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273"/>
      <c r="AU344" s="273"/>
      <c r="AV344" s="273"/>
      <c r="AW344" s="273"/>
      <c r="AX344" s="273"/>
      <c r="AY344" s="273"/>
      <c r="AZ344" s="273"/>
      <c r="BA344" s="273"/>
      <c r="BB344" s="273"/>
      <c r="BC344" s="273"/>
      <c r="BD344" s="273"/>
      <c r="BE344" s="273"/>
      <c r="BF344" s="273"/>
      <c r="BG344" s="273"/>
      <c r="BH344" s="273"/>
      <c r="BI344" s="273"/>
      <c r="BJ344" s="273"/>
      <c r="BK344" s="335"/>
      <c r="BL344" s="1"/>
      <c r="BM344" s="1"/>
      <c r="BN344" s="1"/>
      <c r="BO344" s="1"/>
      <c r="BP344" s="1"/>
      <c r="BQ344" s="1"/>
      <c r="BR344" s="1"/>
      <c r="BS344" s="1"/>
    </row>
    <row r="345" spans="1:71" ht="7.5" customHeight="1" x14ac:dyDescent="0.25">
      <c r="A345" s="1"/>
      <c r="B345" s="238"/>
      <c r="C345" s="232"/>
      <c r="D345" s="232"/>
      <c r="E345" s="232"/>
      <c r="F345" s="232"/>
      <c r="G345" s="232"/>
      <c r="H345" s="232"/>
      <c r="I345" s="232"/>
      <c r="J345" s="232"/>
      <c r="K345" s="232"/>
      <c r="L345" s="421"/>
      <c r="M345" s="6"/>
      <c r="N345" s="1"/>
      <c r="O345" s="157"/>
      <c r="P345" s="119"/>
      <c r="Q345" s="99" t="s">
        <v>1293</v>
      </c>
      <c r="R345" s="100"/>
      <c r="S345" s="17"/>
      <c r="T345" s="17"/>
      <c r="U345" s="219"/>
      <c r="V345" s="221"/>
      <c r="W345" s="99" t="s">
        <v>1294</v>
      </c>
      <c r="X345" s="100"/>
      <c r="Y345" s="100"/>
      <c r="Z345" s="1"/>
      <c r="AA345" s="5"/>
      <c r="AB345" s="432" t="s">
        <v>1299</v>
      </c>
      <c r="AC345" s="433"/>
      <c r="AD345" s="433"/>
      <c r="AE345" s="433"/>
      <c r="AF345" s="433"/>
      <c r="AG345" s="273"/>
      <c r="AH345" s="273"/>
      <c r="AI345" s="273"/>
      <c r="AJ345" s="273"/>
      <c r="AK345" s="273"/>
      <c r="AL345" s="273"/>
      <c r="AM345" s="273"/>
      <c r="AN345" s="273"/>
      <c r="AO345" s="273"/>
      <c r="AP345" s="433" t="s">
        <v>1336</v>
      </c>
      <c r="AQ345" s="433"/>
      <c r="AR345" s="433"/>
      <c r="AS345" s="433"/>
      <c r="AT345" s="273"/>
      <c r="AU345" s="273"/>
      <c r="AV345" s="273"/>
      <c r="AW345" s="273"/>
      <c r="AX345" s="273"/>
      <c r="AY345" s="273"/>
      <c r="AZ345" s="273"/>
      <c r="BA345" s="273"/>
      <c r="BB345" s="273"/>
      <c r="BC345" s="273"/>
      <c r="BD345" s="273"/>
      <c r="BE345" s="273"/>
      <c r="BF345" s="273"/>
      <c r="BG345" s="273"/>
      <c r="BH345" s="273"/>
      <c r="BI345" s="273"/>
      <c r="BJ345" s="273"/>
      <c r="BK345" s="335"/>
      <c r="BL345" s="1"/>
      <c r="BM345" s="1"/>
      <c r="BN345" s="1"/>
      <c r="BO345" s="1"/>
      <c r="BP345" s="1"/>
      <c r="BQ345" s="1"/>
      <c r="BR345" s="1"/>
      <c r="BS345" s="1"/>
    </row>
    <row r="346" spans="1:71" ht="7.5" customHeight="1" x14ac:dyDescent="0.25">
      <c r="A346" s="1"/>
      <c r="B346" s="238" t="s">
        <v>1337</v>
      </c>
      <c r="C346" s="232"/>
      <c r="D346" s="232"/>
      <c r="E346" s="232"/>
      <c r="F346" s="232"/>
      <c r="G346" s="232"/>
      <c r="H346" s="232"/>
      <c r="I346" s="232"/>
      <c r="J346" s="232"/>
      <c r="K346" s="232"/>
      <c r="L346" s="421"/>
      <c r="M346" s="6"/>
      <c r="N346" s="1"/>
      <c r="O346" s="161"/>
      <c r="P346" s="125"/>
      <c r="Q346" s="99"/>
      <c r="R346" s="100"/>
      <c r="S346" s="17"/>
      <c r="T346" s="17"/>
      <c r="U346" s="102"/>
      <c r="V346" s="104"/>
      <c r="W346" s="99"/>
      <c r="X346" s="100"/>
      <c r="Y346" s="100"/>
      <c r="Z346" s="1"/>
      <c r="AA346" s="5"/>
      <c r="AB346" s="432"/>
      <c r="AC346" s="433"/>
      <c r="AD346" s="433"/>
      <c r="AE346" s="433"/>
      <c r="AF346" s="433"/>
      <c r="AG346" s="273"/>
      <c r="AH346" s="273"/>
      <c r="AI346" s="273"/>
      <c r="AJ346" s="273"/>
      <c r="AK346" s="273"/>
      <c r="AL346" s="273"/>
      <c r="AM346" s="273"/>
      <c r="AN346" s="273"/>
      <c r="AO346" s="273"/>
      <c r="AP346" s="433"/>
      <c r="AQ346" s="433"/>
      <c r="AR346" s="433"/>
      <c r="AS346" s="433"/>
      <c r="AT346" s="273"/>
      <c r="AU346" s="273"/>
      <c r="AV346" s="273"/>
      <c r="AW346" s="273"/>
      <c r="AX346" s="273"/>
      <c r="AY346" s="273"/>
      <c r="AZ346" s="273"/>
      <c r="BA346" s="273"/>
      <c r="BB346" s="273"/>
      <c r="BC346" s="273"/>
      <c r="BD346" s="273"/>
      <c r="BE346" s="273"/>
      <c r="BF346" s="273"/>
      <c r="BG346" s="273"/>
      <c r="BH346" s="273"/>
      <c r="BI346" s="273"/>
      <c r="BJ346" s="273"/>
      <c r="BK346" s="335"/>
      <c r="BL346" s="1"/>
      <c r="BM346" s="1"/>
      <c r="BN346" s="1"/>
      <c r="BO346" s="1"/>
      <c r="BP346" s="1"/>
      <c r="BQ346" s="1"/>
      <c r="BR346" s="1"/>
      <c r="BS346" s="1"/>
    </row>
    <row r="347" spans="1:71" ht="7.5" customHeight="1" x14ac:dyDescent="0.25">
      <c r="A347" s="1"/>
      <c r="B347" s="436"/>
      <c r="C347" s="437"/>
      <c r="D347" s="437"/>
      <c r="E347" s="437"/>
      <c r="F347" s="437"/>
      <c r="G347" s="437"/>
      <c r="H347" s="437"/>
      <c r="I347" s="437"/>
      <c r="J347" s="437"/>
      <c r="K347" s="437"/>
      <c r="L347" s="438"/>
      <c r="M347" s="58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59"/>
      <c r="AB347" s="434"/>
      <c r="AC347" s="435"/>
      <c r="AD347" s="435"/>
      <c r="AE347" s="435"/>
      <c r="AF347" s="435"/>
      <c r="AG347" s="274"/>
      <c r="AH347" s="274"/>
      <c r="AI347" s="274"/>
      <c r="AJ347" s="274"/>
      <c r="AK347" s="274"/>
      <c r="AL347" s="274"/>
      <c r="AM347" s="274"/>
      <c r="AN347" s="274"/>
      <c r="AO347" s="274"/>
      <c r="AP347" s="435"/>
      <c r="AQ347" s="435"/>
      <c r="AR347" s="435"/>
      <c r="AS347" s="435"/>
      <c r="AT347" s="274"/>
      <c r="AU347" s="274"/>
      <c r="AV347" s="274"/>
      <c r="AW347" s="274"/>
      <c r="AX347" s="274"/>
      <c r="AY347" s="274"/>
      <c r="AZ347" s="274"/>
      <c r="BA347" s="274"/>
      <c r="BB347" s="274"/>
      <c r="BC347" s="274"/>
      <c r="BD347" s="274"/>
      <c r="BE347" s="274"/>
      <c r="BF347" s="274"/>
      <c r="BG347" s="274"/>
      <c r="BH347" s="274"/>
      <c r="BI347" s="274"/>
      <c r="BJ347" s="274"/>
      <c r="BK347" s="337"/>
      <c r="BL347" s="1"/>
      <c r="BM347" s="1"/>
      <c r="BN347" s="1"/>
      <c r="BO347" s="1"/>
      <c r="BP347" s="1"/>
      <c r="BQ347" s="1"/>
      <c r="BR347" s="1"/>
      <c r="BS347" s="1"/>
    </row>
    <row r="348" spans="1:71" ht="7.5" customHeight="1" x14ac:dyDescent="0.25">
      <c r="A348" s="1"/>
      <c r="B348" s="359" t="s">
        <v>1338</v>
      </c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60"/>
      <c r="Q348" s="360"/>
      <c r="R348" s="360"/>
      <c r="S348" s="360"/>
      <c r="T348" s="360"/>
      <c r="U348" s="360"/>
      <c r="V348" s="360"/>
      <c r="W348" s="360"/>
      <c r="X348" s="360"/>
      <c r="Y348" s="360"/>
      <c r="Z348" s="360"/>
      <c r="AA348" s="360"/>
      <c r="AB348" s="360"/>
      <c r="AC348" s="360"/>
      <c r="AD348" s="360"/>
      <c r="AE348" s="360"/>
      <c r="AF348" s="360"/>
      <c r="AG348" s="360"/>
      <c r="AH348" s="360"/>
      <c r="AI348" s="360"/>
      <c r="AJ348" s="360"/>
      <c r="AK348" s="360"/>
      <c r="AL348" s="360"/>
      <c r="AM348" s="360"/>
      <c r="AN348" s="360"/>
      <c r="AO348" s="360"/>
      <c r="AP348" s="360"/>
      <c r="AQ348" s="360"/>
      <c r="AR348" s="360"/>
      <c r="AS348" s="360"/>
      <c r="AT348" s="360"/>
      <c r="AU348" s="360"/>
      <c r="AV348" s="360"/>
      <c r="AW348" s="360"/>
      <c r="AX348" s="360"/>
      <c r="AY348" s="360"/>
      <c r="AZ348" s="360"/>
      <c r="BA348" s="360"/>
      <c r="BB348" s="360"/>
      <c r="BC348" s="360"/>
      <c r="BD348" s="360"/>
      <c r="BE348" s="360"/>
      <c r="BF348" s="360"/>
      <c r="BG348" s="360"/>
      <c r="BH348" s="360"/>
      <c r="BI348" s="360"/>
      <c r="BJ348" s="360"/>
      <c r="BK348" s="361"/>
      <c r="BL348" s="1"/>
      <c r="BM348" s="1"/>
      <c r="BN348" s="1"/>
      <c r="BO348" s="1"/>
      <c r="BP348" s="1"/>
      <c r="BQ348" s="1"/>
      <c r="BR348" s="1"/>
      <c r="BS348" s="1"/>
    </row>
    <row r="349" spans="1:71" ht="7.5" customHeight="1" x14ac:dyDescent="0.25">
      <c r="A349" s="1"/>
      <c r="B349" s="354"/>
      <c r="C349" s="355"/>
      <c r="D349" s="355"/>
      <c r="E349" s="355"/>
      <c r="F349" s="355"/>
      <c r="G349" s="355"/>
      <c r="H349" s="355"/>
      <c r="I349" s="355"/>
      <c r="J349" s="355"/>
      <c r="K349" s="355"/>
      <c r="L349" s="355"/>
      <c r="M349" s="355"/>
      <c r="N349" s="355"/>
      <c r="O349" s="355"/>
      <c r="P349" s="355"/>
      <c r="Q349" s="355"/>
      <c r="R349" s="355"/>
      <c r="S349" s="355"/>
      <c r="T349" s="355"/>
      <c r="U349" s="355"/>
      <c r="V349" s="355"/>
      <c r="W349" s="355"/>
      <c r="X349" s="355"/>
      <c r="Y349" s="355"/>
      <c r="Z349" s="355"/>
      <c r="AA349" s="355"/>
      <c r="AB349" s="355"/>
      <c r="AC349" s="355"/>
      <c r="AD349" s="355"/>
      <c r="AE349" s="355"/>
      <c r="AF349" s="355"/>
      <c r="AG349" s="355"/>
      <c r="AH349" s="355"/>
      <c r="AI349" s="355"/>
      <c r="AJ349" s="355"/>
      <c r="AK349" s="355"/>
      <c r="AL349" s="355"/>
      <c r="AM349" s="355"/>
      <c r="AN349" s="355"/>
      <c r="AO349" s="355"/>
      <c r="AP349" s="355"/>
      <c r="AQ349" s="355"/>
      <c r="AR349" s="355"/>
      <c r="AS349" s="355"/>
      <c r="AT349" s="355"/>
      <c r="AU349" s="355"/>
      <c r="AV349" s="355"/>
      <c r="AW349" s="355"/>
      <c r="AX349" s="355"/>
      <c r="AY349" s="355"/>
      <c r="AZ349" s="355"/>
      <c r="BA349" s="355"/>
      <c r="BB349" s="355"/>
      <c r="BC349" s="355"/>
      <c r="BD349" s="355"/>
      <c r="BE349" s="355"/>
      <c r="BF349" s="355"/>
      <c r="BG349" s="355"/>
      <c r="BH349" s="355"/>
      <c r="BI349" s="355"/>
      <c r="BJ349" s="355"/>
      <c r="BK349" s="412"/>
      <c r="BL349" s="1"/>
      <c r="BM349" s="1"/>
      <c r="BN349" s="1"/>
      <c r="BO349" s="1"/>
      <c r="BP349" s="1"/>
      <c r="BQ349" s="1"/>
      <c r="BR349" s="1"/>
      <c r="BS349" s="1"/>
    </row>
    <row r="350" spans="1:71" ht="7.5" customHeight="1" x14ac:dyDescent="0.25">
      <c r="A350" s="1"/>
      <c r="B350" s="356"/>
      <c r="C350" s="357"/>
      <c r="D350" s="357"/>
      <c r="E350" s="357"/>
      <c r="F350" s="357"/>
      <c r="G350" s="357"/>
      <c r="H350" s="357"/>
      <c r="I350" s="357"/>
      <c r="J350" s="357"/>
      <c r="K350" s="357"/>
      <c r="L350" s="357"/>
      <c r="M350" s="357"/>
      <c r="N350" s="357"/>
      <c r="O350" s="357"/>
      <c r="P350" s="357"/>
      <c r="Q350" s="357"/>
      <c r="R350" s="357"/>
      <c r="S350" s="357"/>
      <c r="T350" s="357"/>
      <c r="U350" s="357"/>
      <c r="V350" s="357"/>
      <c r="W350" s="357"/>
      <c r="X350" s="357"/>
      <c r="Y350" s="357"/>
      <c r="Z350" s="357"/>
      <c r="AA350" s="357"/>
      <c r="AB350" s="357"/>
      <c r="AC350" s="357"/>
      <c r="AD350" s="357"/>
      <c r="AE350" s="357"/>
      <c r="AF350" s="357"/>
      <c r="AG350" s="357"/>
      <c r="AH350" s="357"/>
      <c r="AI350" s="357"/>
      <c r="AJ350" s="357"/>
      <c r="AK350" s="357"/>
      <c r="AL350" s="357"/>
      <c r="AM350" s="357"/>
      <c r="AN350" s="357"/>
      <c r="AO350" s="357"/>
      <c r="AP350" s="357"/>
      <c r="AQ350" s="357"/>
      <c r="AR350" s="357"/>
      <c r="AS350" s="357"/>
      <c r="AT350" s="357"/>
      <c r="AU350" s="357"/>
      <c r="AV350" s="357"/>
      <c r="AW350" s="357"/>
      <c r="AX350" s="357"/>
      <c r="AY350" s="357"/>
      <c r="AZ350" s="357"/>
      <c r="BA350" s="357"/>
      <c r="BB350" s="357"/>
      <c r="BC350" s="357"/>
      <c r="BD350" s="357"/>
      <c r="BE350" s="357"/>
      <c r="BF350" s="357"/>
      <c r="BG350" s="357"/>
      <c r="BH350" s="357"/>
      <c r="BI350" s="357"/>
      <c r="BJ350" s="357"/>
      <c r="BK350" s="362"/>
      <c r="BL350" s="1"/>
      <c r="BM350" s="1"/>
      <c r="BN350" s="1"/>
      <c r="BO350" s="1"/>
      <c r="BP350" s="1"/>
      <c r="BQ350" s="1"/>
      <c r="BR350" s="1"/>
      <c r="BS350" s="1"/>
    </row>
    <row r="351" spans="1:71" ht="7.5" customHeight="1" x14ac:dyDescent="0.25">
      <c r="A351" s="1"/>
      <c r="B351" s="439" t="s">
        <v>1339</v>
      </c>
      <c r="C351" s="440"/>
      <c r="D351" s="440"/>
      <c r="E351" s="440"/>
      <c r="F351" s="440"/>
      <c r="G351" s="440"/>
      <c r="H351" s="440"/>
      <c r="I351" s="440"/>
      <c r="J351" s="275"/>
      <c r="K351" s="275"/>
      <c r="L351" s="275"/>
      <c r="M351" s="275"/>
      <c r="N351" s="275"/>
      <c r="O351" s="275"/>
      <c r="P351" s="275"/>
      <c r="Q351" s="275"/>
      <c r="R351" s="275"/>
      <c r="S351" s="275"/>
      <c r="T351" s="275"/>
      <c r="U351" s="275"/>
      <c r="V351" s="275"/>
      <c r="W351" s="275"/>
      <c r="X351" s="275"/>
      <c r="Y351" s="275"/>
      <c r="Z351" s="275"/>
      <c r="AA351" s="275"/>
      <c r="AB351" s="275"/>
      <c r="AC351" s="275"/>
      <c r="AD351" s="275"/>
      <c r="AE351" s="275"/>
      <c r="AF351" s="275"/>
      <c r="AG351" s="275"/>
      <c r="AH351" s="275"/>
      <c r="AI351" s="275"/>
      <c r="AJ351" s="275"/>
      <c r="AK351" s="275"/>
      <c r="AL351" s="275"/>
      <c r="AM351" s="275"/>
      <c r="AN351" s="275"/>
      <c r="AO351" s="275"/>
      <c r="AP351" s="275"/>
      <c r="AQ351" s="275"/>
      <c r="AR351" s="275"/>
      <c r="AS351" s="275"/>
      <c r="AT351" s="275"/>
      <c r="AU351" s="275"/>
      <c r="AV351" s="275"/>
      <c r="AW351" s="275"/>
      <c r="AX351" s="275"/>
      <c r="AY351" s="275"/>
      <c r="AZ351" s="275"/>
      <c r="BA351" s="275"/>
      <c r="BB351" s="275"/>
      <c r="BC351" s="275"/>
      <c r="BD351" s="275"/>
      <c r="BE351" s="275"/>
      <c r="BF351" s="275"/>
      <c r="BG351" s="275"/>
      <c r="BH351" s="275"/>
      <c r="BI351" s="275"/>
      <c r="BJ351" s="275"/>
      <c r="BK351" s="333"/>
      <c r="BL351" s="1"/>
      <c r="BM351" s="1"/>
      <c r="BN351" s="1"/>
      <c r="BO351" s="1"/>
      <c r="BP351" s="1"/>
      <c r="BQ351" s="1"/>
      <c r="BR351" s="1"/>
      <c r="BS351" s="1"/>
    </row>
    <row r="352" spans="1:71" ht="7.5" customHeight="1" x14ac:dyDescent="0.25">
      <c r="A352" s="1"/>
      <c r="B352" s="441"/>
      <c r="C352" s="442"/>
      <c r="D352" s="442"/>
      <c r="E352" s="442"/>
      <c r="F352" s="442"/>
      <c r="G352" s="442"/>
      <c r="H352" s="442"/>
      <c r="I352" s="442"/>
      <c r="J352" s="273"/>
      <c r="K352" s="273"/>
      <c r="L352" s="273"/>
      <c r="M352" s="273"/>
      <c r="N352" s="273"/>
      <c r="O352" s="273"/>
      <c r="P352" s="273"/>
      <c r="Q352" s="273"/>
      <c r="R352" s="273"/>
      <c r="S352" s="273"/>
      <c r="T352" s="273"/>
      <c r="U352" s="273"/>
      <c r="V352" s="273"/>
      <c r="W352" s="273"/>
      <c r="X352" s="273"/>
      <c r="Y352" s="273"/>
      <c r="Z352" s="273"/>
      <c r="AA352" s="273"/>
      <c r="AB352" s="273"/>
      <c r="AC352" s="273"/>
      <c r="AD352" s="273"/>
      <c r="AE352" s="273"/>
      <c r="AF352" s="273"/>
      <c r="AG352" s="273"/>
      <c r="AH352" s="273"/>
      <c r="AI352" s="273"/>
      <c r="AJ352" s="273"/>
      <c r="AK352" s="273"/>
      <c r="AL352" s="273"/>
      <c r="AM352" s="273"/>
      <c r="AN352" s="273"/>
      <c r="AO352" s="273"/>
      <c r="AP352" s="273"/>
      <c r="AQ352" s="273"/>
      <c r="AR352" s="273"/>
      <c r="AS352" s="273"/>
      <c r="AT352" s="273"/>
      <c r="AU352" s="273"/>
      <c r="AV352" s="273"/>
      <c r="AW352" s="273"/>
      <c r="AX352" s="273"/>
      <c r="AY352" s="273"/>
      <c r="AZ352" s="273"/>
      <c r="BA352" s="273"/>
      <c r="BB352" s="273"/>
      <c r="BC352" s="273"/>
      <c r="BD352" s="273"/>
      <c r="BE352" s="273"/>
      <c r="BF352" s="273"/>
      <c r="BG352" s="273"/>
      <c r="BH352" s="273"/>
      <c r="BI352" s="273"/>
      <c r="BJ352" s="273"/>
      <c r="BK352" s="335"/>
      <c r="BL352" s="1"/>
      <c r="BM352" s="1"/>
      <c r="BN352" s="1"/>
      <c r="BO352" s="1"/>
      <c r="BP352" s="1"/>
      <c r="BQ352" s="1"/>
      <c r="BR352" s="1"/>
      <c r="BS352" s="1"/>
    </row>
    <row r="353" spans="1:71" ht="7.5" customHeight="1" x14ac:dyDescent="0.25">
      <c r="A353" s="1"/>
      <c r="B353" s="441"/>
      <c r="C353" s="442"/>
      <c r="D353" s="442"/>
      <c r="E353" s="442"/>
      <c r="F353" s="442"/>
      <c r="G353" s="442"/>
      <c r="H353" s="442"/>
      <c r="I353" s="442"/>
      <c r="J353" s="273"/>
      <c r="K353" s="273"/>
      <c r="L353" s="273"/>
      <c r="M353" s="273"/>
      <c r="N353" s="273"/>
      <c r="O353" s="273"/>
      <c r="P353" s="273"/>
      <c r="Q353" s="273"/>
      <c r="R353" s="273"/>
      <c r="S353" s="273"/>
      <c r="T353" s="273"/>
      <c r="U353" s="273"/>
      <c r="V353" s="273"/>
      <c r="W353" s="273"/>
      <c r="X353" s="273"/>
      <c r="Y353" s="273"/>
      <c r="Z353" s="273"/>
      <c r="AA353" s="273"/>
      <c r="AB353" s="273"/>
      <c r="AC353" s="273"/>
      <c r="AD353" s="273"/>
      <c r="AE353" s="273"/>
      <c r="AF353" s="273"/>
      <c r="AG353" s="273"/>
      <c r="AH353" s="273"/>
      <c r="AI353" s="273"/>
      <c r="AJ353" s="273"/>
      <c r="AK353" s="273"/>
      <c r="AL353" s="273"/>
      <c r="AM353" s="273"/>
      <c r="AN353" s="273"/>
      <c r="AO353" s="273"/>
      <c r="AP353" s="273"/>
      <c r="AQ353" s="273"/>
      <c r="AR353" s="273"/>
      <c r="AS353" s="273"/>
      <c r="AT353" s="273"/>
      <c r="AU353" s="273"/>
      <c r="AV353" s="273"/>
      <c r="AW353" s="273"/>
      <c r="AX353" s="273"/>
      <c r="AY353" s="273"/>
      <c r="AZ353" s="273"/>
      <c r="BA353" s="273"/>
      <c r="BB353" s="273"/>
      <c r="BC353" s="273"/>
      <c r="BD353" s="273"/>
      <c r="BE353" s="273"/>
      <c r="BF353" s="273"/>
      <c r="BG353" s="273"/>
      <c r="BH353" s="273"/>
      <c r="BI353" s="273"/>
      <c r="BJ353" s="273"/>
      <c r="BK353" s="335"/>
      <c r="BL353" s="1"/>
      <c r="BM353" s="1"/>
      <c r="BN353" s="1"/>
      <c r="BO353" s="1"/>
      <c r="BP353" s="1"/>
      <c r="BQ353" s="1"/>
      <c r="BR353" s="1"/>
      <c r="BS353" s="1"/>
    </row>
    <row r="354" spans="1:71" ht="7.5" customHeight="1" x14ac:dyDescent="0.25">
      <c r="A354" s="1"/>
      <c r="B354" s="6"/>
      <c r="C354" s="1"/>
      <c r="D354" s="1"/>
      <c r="E354" s="1"/>
      <c r="F354" s="1"/>
      <c r="G354" s="1"/>
      <c r="H354" s="1"/>
      <c r="I354" s="1"/>
      <c r="J354" s="273"/>
      <c r="K354" s="273"/>
      <c r="L354" s="273"/>
      <c r="M354" s="273"/>
      <c r="N354" s="273"/>
      <c r="O354" s="273"/>
      <c r="P354" s="273"/>
      <c r="Q354" s="273"/>
      <c r="R354" s="273"/>
      <c r="S354" s="273"/>
      <c r="T354" s="273"/>
      <c r="U354" s="273"/>
      <c r="V354" s="273"/>
      <c r="W354" s="273"/>
      <c r="X354" s="273"/>
      <c r="Y354" s="273"/>
      <c r="Z354" s="273"/>
      <c r="AA354" s="273"/>
      <c r="AB354" s="273"/>
      <c r="AC354" s="273"/>
      <c r="AD354" s="273"/>
      <c r="AE354" s="273"/>
      <c r="AF354" s="273"/>
      <c r="AG354" s="273"/>
      <c r="AH354" s="273"/>
      <c r="AI354" s="273"/>
      <c r="AJ354" s="273"/>
      <c r="AK354" s="273"/>
      <c r="AL354" s="273"/>
      <c r="AM354" s="273"/>
      <c r="AN354" s="273"/>
      <c r="AO354" s="273"/>
      <c r="AP354" s="273"/>
      <c r="AQ354" s="273"/>
      <c r="AR354" s="273"/>
      <c r="AS354" s="273"/>
      <c r="AT354" s="273"/>
      <c r="AU354" s="273"/>
      <c r="AV354" s="273"/>
      <c r="AW354" s="273"/>
      <c r="AX354" s="273"/>
      <c r="AY354" s="273"/>
      <c r="AZ354" s="273"/>
      <c r="BA354" s="273"/>
      <c r="BB354" s="273"/>
      <c r="BC354" s="273"/>
      <c r="BD354" s="273"/>
      <c r="BE354" s="273"/>
      <c r="BF354" s="273"/>
      <c r="BG354" s="273"/>
      <c r="BH354" s="273"/>
      <c r="BI354" s="273"/>
      <c r="BJ354" s="273"/>
      <c r="BK354" s="335"/>
      <c r="BL354" s="1"/>
      <c r="BM354" s="1"/>
      <c r="BN354" s="1"/>
      <c r="BO354" s="1"/>
      <c r="BP354" s="1"/>
      <c r="BQ354" s="1"/>
      <c r="BR354" s="1"/>
      <c r="BS354" s="1"/>
    </row>
    <row r="355" spans="1:71" ht="7.5" customHeight="1" x14ac:dyDescent="0.25">
      <c r="A355" s="1"/>
      <c r="B355" s="6"/>
      <c r="C355" s="1"/>
      <c r="D355" s="1"/>
      <c r="E355" s="1"/>
      <c r="F355" s="1"/>
      <c r="G355" s="1"/>
      <c r="H355" s="1"/>
      <c r="I355" s="1"/>
      <c r="J355" s="273"/>
      <c r="K355" s="273"/>
      <c r="L355" s="273"/>
      <c r="M355" s="273"/>
      <c r="N355" s="273"/>
      <c r="O355" s="273"/>
      <c r="P355" s="273"/>
      <c r="Q355" s="273"/>
      <c r="R355" s="273"/>
      <c r="S355" s="273"/>
      <c r="T355" s="273"/>
      <c r="U355" s="273"/>
      <c r="V355" s="273"/>
      <c r="W355" s="273"/>
      <c r="X355" s="273"/>
      <c r="Y355" s="273"/>
      <c r="Z355" s="273"/>
      <c r="AA355" s="273"/>
      <c r="AB355" s="273"/>
      <c r="AC355" s="273"/>
      <c r="AD355" s="273"/>
      <c r="AE355" s="273"/>
      <c r="AF355" s="273"/>
      <c r="AG355" s="273"/>
      <c r="AH355" s="273"/>
      <c r="AI355" s="273"/>
      <c r="AJ355" s="273"/>
      <c r="AK355" s="273"/>
      <c r="AL355" s="273"/>
      <c r="AM355" s="273"/>
      <c r="AN355" s="273"/>
      <c r="AO355" s="273"/>
      <c r="AP355" s="273"/>
      <c r="AQ355" s="273"/>
      <c r="AR355" s="273"/>
      <c r="AS355" s="273"/>
      <c r="AT355" s="273"/>
      <c r="AU355" s="273"/>
      <c r="AV355" s="273"/>
      <c r="AW355" s="273"/>
      <c r="AX355" s="273"/>
      <c r="AY355" s="273"/>
      <c r="AZ355" s="273"/>
      <c r="BA355" s="273"/>
      <c r="BB355" s="273"/>
      <c r="BC355" s="273"/>
      <c r="BD355" s="273"/>
      <c r="BE355" s="273"/>
      <c r="BF355" s="273"/>
      <c r="BG355" s="273"/>
      <c r="BH355" s="273"/>
      <c r="BI355" s="273"/>
      <c r="BJ355" s="273"/>
      <c r="BK355" s="335"/>
      <c r="BL355" s="1"/>
      <c r="BM355" s="1"/>
      <c r="BN355" s="1"/>
      <c r="BO355" s="1"/>
      <c r="BP355" s="1"/>
      <c r="BQ355" s="1"/>
      <c r="BR355" s="1"/>
      <c r="BS355" s="1"/>
    </row>
    <row r="356" spans="1:71" ht="7.5" customHeight="1" x14ac:dyDescent="0.25">
      <c r="A356" s="1"/>
      <c r="B356" s="6"/>
      <c r="C356" s="1"/>
      <c r="D356" s="1"/>
      <c r="E356" s="1"/>
      <c r="F356" s="1"/>
      <c r="G356" s="1"/>
      <c r="H356" s="1"/>
      <c r="I356" s="1"/>
      <c r="J356" s="273"/>
      <c r="K356" s="273"/>
      <c r="L356" s="273"/>
      <c r="M356" s="273"/>
      <c r="N356" s="273"/>
      <c r="O356" s="273"/>
      <c r="P356" s="273"/>
      <c r="Q356" s="273"/>
      <c r="R356" s="273"/>
      <c r="S356" s="273"/>
      <c r="T356" s="273"/>
      <c r="U356" s="273"/>
      <c r="V356" s="273"/>
      <c r="W356" s="273"/>
      <c r="X356" s="273"/>
      <c r="Y356" s="273"/>
      <c r="Z356" s="273"/>
      <c r="AA356" s="273"/>
      <c r="AB356" s="273"/>
      <c r="AC356" s="273"/>
      <c r="AD356" s="273"/>
      <c r="AE356" s="273"/>
      <c r="AF356" s="273"/>
      <c r="AG356" s="273"/>
      <c r="AH356" s="273"/>
      <c r="AI356" s="273"/>
      <c r="AJ356" s="273"/>
      <c r="AK356" s="273"/>
      <c r="AL356" s="273"/>
      <c r="AM356" s="273"/>
      <c r="AN356" s="273"/>
      <c r="AO356" s="273"/>
      <c r="AP356" s="273"/>
      <c r="AQ356" s="273"/>
      <c r="AR356" s="273"/>
      <c r="AS356" s="273"/>
      <c r="AT356" s="273"/>
      <c r="AU356" s="273"/>
      <c r="AV356" s="273"/>
      <c r="AW356" s="273"/>
      <c r="AX356" s="273"/>
      <c r="AY356" s="273"/>
      <c r="AZ356" s="273"/>
      <c r="BA356" s="273"/>
      <c r="BB356" s="273"/>
      <c r="BC356" s="273"/>
      <c r="BD356" s="273"/>
      <c r="BE356" s="273"/>
      <c r="BF356" s="273"/>
      <c r="BG356" s="273"/>
      <c r="BH356" s="273"/>
      <c r="BI356" s="273"/>
      <c r="BJ356" s="273"/>
      <c r="BK356" s="335"/>
      <c r="BL356" s="1"/>
      <c r="BM356" s="1"/>
      <c r="BN356" s="1"/>
      <c r="BO356" s="1"/>
      <c r="BP356" s="1"/>
      <c r="BQ356" s="1"/>
      <c r="BR356" s="1"/>
      <c r="BS356" s="1"/>
    </row>
    <row r="357" spans="1:71" ht="7.5" customHeight="1" x14ac:dyDescent="0.25">
      <c r="A357" s="1"/>
      <c r="B357" s="6"/>
      <c r="C357" s="1"/>
      <c r="D357" s="1"/>
      <c r="E357" s="1"/>
      <c r="F357" s="1"/>
      <c r="G357" s="1"/>
      <c r="H357" s="1"/>
      <c r="I357" s="1"/>
      <c r="J357" s="273"/>
      <c r="K357" s="273"/>
      <c r="L357" s="273"/>
      <c r="M357" s="273"/>
      <c r="N357" s="273"/>
      <c r="O357" s="273"/>
      <c r="P357" s="273"/>
      <c r="Q357" s="273"/>
      <c r="R357" s="273"/>
      <c r="S357" s="273"/>
      <c r="T357" s="273"/>
      <c r="U357" s="273"/>
      <c r="V357" s="273"/>
      <c r="W357" s="273"/>
      <c r="X357" s="273"/>
      <c r="Y357" s="273"/>
      <c r="Z357" s="273"/>
      <c r="AA357" s="273"/>
      <c r="AB357" s="273"/>
      <c r="AC357" s="273"/>
      <c r="AD357" s="273"/>
      <c r="AE357" s="273"/>
      <c r="AF357" s="273"/>
      <c r="AG357" s="273"/>
      <c r="AH357" s="273"/>
      <c r="AI357" s="273"/>
      <c r="AJ357" s="273"/>
      <c r="AK357" s="273"/>
      <c r="AL357" s="273"/>
      <c r="AM357" s="273"/>
      <c r="AN357" s="273"/>
      <c r="AO357" s="273"/>
      <c r="AP357" s="273"/>
      <c r="AQ357" s="273"/>
      <c r="AR357" s="273"/>
      <c r="AS357" s="273"/>
      <c r="AT357" s="273"/>
      <c r="AU357" s="273"/>
      <c r="AV357" s="273"/>
      <c r="AW357" s="273"/>
      <c r="AX357" s="273"/>
      <c r="AY357" s="273"/>
      <c r="AZ357" s="273"/>
      <c r="BA357" s="273"/>
      <c r="BB357" s="273"/>
      <c r="BC357" s="273"/>
      <c r="BD357" s="273"/>
      <c r="BE357" s="273"/>
      <c r="BF357" s="273"/>
      <c r="BG357" s="273"/>
      <c r="BH357" s="273"/>
      <c r="BI357" s="273"/>
      <c r="BJ357" s="273"/>
      <c r="BK357" s="335"/>
      <c r="BL357" s="1"/>
      <c r="BM357" s="1"/>
      <c r="BN357" s="1"/>
      <c r="BO357" s="1"/>
      <c r="BP357" s="1"/>
      <c r="BQ357" s="1"/>
      <c r="BR357" s="1"/>
      <c r="BS357" s="1"/>
    </row>
    <row r="358" spans="1:71" ht="9" customHeight="1" x14ac:dyDescent="0.25">
      <c r="A358" s="1"/>
      <c r="B358" s="6"/>
      <c r="C358" s="1"/>
      <c r="D358" s="1"/>
      <c r="E358" s="1"/>
      <c r="F358" s="1"/>
      <c r="G358" s="1"/>
      <c r="H358" s="1"/>
      <c r="I358" s="1"/>
      <c r="J358" s="273"/>
      <c r="K358" s="273"/>
      <c r="L358" s="273"/>
      <c r="M358" s="273"/>
      <c r="N358" s="273"/>
      <c r="O358" s="273"/>
      <c r="P358" s="273"/>
      <c r="Q358" s="273"/>
      <c r="R358" s="273"/>
      <c r="S358" s="273"/>
      <c r="T358" s="273"/>
      <c r="U358" s="273"/>
      <c r="V358" s="273"/>
      <c r="W358" s="273"/>
      <c r="X358" s="273"/>
      <c r="Y358" s="273"/>
      <c r="Z358" s="273"/>
      <c r="AA358" s="273"/>
      <c r="AB358" s="273"/>
      <c r="AC358" s="273"/>
      <c r="AD358" s="273"/>
      <c r="AE358" s="273"/>
      <c r="AF358" s="273"/>
      <c r="AG358" s="273"/>
      <c r="AH358" s="273"/>
      <c r="AI358" s="273"/>
      <c r="AJ358" s="273"/>
      <c r="AK358" s="273"/>
      <c r="AL358" s="273"/>
      <c r="AM358" s="273"/>
      <c r="AN358" s="273"/>
      <c r="AO358" s="273"/>
      <c r="AP358" s="273"/>
      <c r="AQ358" s="273"/>
      <c r="AR358" s="273"/>
      <c r="AS358" s="273"/>
      <c r="AT358" s="273"/>
      <c r="AU358" s="273"/>
      <c r="AV358" s="273"/>
      <c r="AW358" s="273"/>
      <c r="AX358" s="273"/>
      <c r="AY358" s="273"/>
      <c r="AZ358" s="273"/>
      <c r="BA358" s="273"/>
      <c r="BB358" s="273"/>
      <c r="BC358" s="273"/>
      <c r="BD358" s="273"/>
      <c r="BE358" s="273"/>
      <c r="BF358" s="273"/>
      <c r="BG358" s="273"/>
      <c r="BH358" s="273"/>
      <c r="BI358" s="273"/>
      <c r="BJ358" s="273"/>
      <c r="BK358" s="335"/>
      <c r="BL358" s="1"/>
      <c r="BM358" s="1"/>
      <c r="BN358" s="1"/>
      <c r="BO358" s="1"/>
      <c r="BP358" s="1"/>
      <c r="BQ358" s="1"/>
      <c r="BR358" s="1"/>
      <c r="BS358" s="1"/>
    </row>
    <row r="359" spans="1:71" ht="7.5" customHeight="1" x14ac:dyDescent="0.25">
      <c r="A359" s="1"/>
      <c r="B359" s="6"/>
      <c r="C359" s="1"/>
      <c r="D359" s="1"/>
      <c r="E359" s="1"/>
      <c r="F359" s="1"/>
      <c r="G359" s="1"/>
      <c r="H359" s="1"/>
      <c r="I359" s="1"/>
      <c r="J359" s="273"/>
      <c r="K359" s="273"/>
      <c r="L359" s="273"/>
      <c r="M359" s="273"/>
      <c r="N359" s="273"/>
      <c r="O359" s="273"/>
      <c r="P359" s="273"/>
      <c r="Q359" s="273"/>
      <c r="R359" s="273"/>
      <c r="S359" s="273"/>
      <c r="T359" s="273"/>
      <c r="U359" s="273"/>
      <c r="V359" s="273"/>
      <c r="W359" s="273"/>
      <c r="X359" s="273"/>
      <c r="Y359" s="273"/>
      <c r="Z359" s="273"/>
      <c r="AA359" s="273"/>
      <c r="AB359" s="273"/>
      <c r="AC359" s="273"/>
      <c r="AD359" s="273"/>
      <c r="AE359" s="273"/>
      <c r="AF359" s="273"/>
      <c r="AG359" s="273"/>
      <c r="AH359" s="273"/>
      <c r="AI359" s="273"/>
      <c r="AJ359" s="273"/>
      <c r="AK359" s="273"/>
      <c r="AL359" s="273"/>
      <c r="AM359" s="273"/>
      <c r="AN359" s="273"/>
      <c r="AO359" s="273"/>
      <c r="AP359" s="273"/>
      <c r="AQ359" s="273"/>
      <c r="AR359" s="273"/>
      <c r="AS359" s="273"/>
      <c r="AT359" s="273"/>
      <c r="AU359" s="273"/>
      <c r="AV359" s="273"/>
      <c r="AW359" s="273"/>
      <c r="AX359" s="273"/>
      <c r="AY359" s="273"/>
      <c r="AZ359" s="273"/>
      <c r="BA359" s="273"/>
      <c r="BB359" s="273"/>
      <c r="BC359" s="273"/>
      <c r="BD359" s="273"/>
      <c r="BE359" s="273"/>
      <c r="BF359" s="273"/>
      <c r="BG359" s="273"/>
      <c r="BH359" s="273"/>
      <c r="BI359" s="273"/>
      <c r="BJ359" s="273"/>
      <c r="BK359" s="335"/>
      <c r="BL359" s="1"/>
      <c r="BM359" s="1"/>
      <c r="BN359" s="1"/>
      <c r="BO359" s="1"/>
      <c r="BP359" s="1"/>
      <c r="BQ359" s="1"/>
      <c r="BR359" s="1"/>
      <c r="BS359" s="1"/>
    </row>
    <row r="360" spans="1:71" ht="7.5" customHeight="1" x14ac:dyDescent="0.25">
      <c r="A360" s="1"/>
      <c r="B360" s="6"/>
      <c r="C360" s="1"/>
      <c r="D360" s="1"/>
      <c r="E360" s="1"/>
      <c r="F360" s="1"/>
      <c r="G360" s="1"/>
      <c r="H360" s="1"/>
      <c r="I360" s="1"/>
      <c r="J360" s="273"/>
      <c r="K360" s="273"/>
      <c r="L360" s="273"/>
      <c r="M360" s="273"/>
      <c r="N360" s="273"/>
      <c r="O360" s="273"/>
      <c r="P360" s="273"/>
      <c r="Q360" s="273"/>
      <c r="R360" s="273"/>
      <c r="S360" s="273"/>
      <c r="T360" s="273"/>
      <c r="U360" s="273"/>
      <c r="V360" s="273"/>
      <c r="W360" s="273"/>
      <c r="X360" s="273"/>
      <c r="Y360" s="273"/>
      <c r="Z360" s="273"/>
      <c r="AA360" s="273"/>
      <c r="AB360" s="273"/>
      <c r="AC360" s="273"/>
      <c r="AD360" s="273"/>
      <c r="AE360" s="273"/>
      <c r="AF360" s="273"/>
      <c r="AG360" s="273"/>
      <c r="AH360" s="273"/>
      <c r="AI360" s="273"/>
      <c r="AJ360" s="273"/>
      <c r="AK360" s="273"/>
      <c r="AL360" s="273"/>
      <c r="AM360" s="273"/>
      <c r="AN360" s="273"/>
      <c r="AO360" s="273"/>
      <c r="AP360" s="273"/>
      <c r="AQ360" s="273"/>
      <c r="AR360" s="273"/>
      <c r="AS360" s="273"/>
      <c r="AT360" s="273"/>
      <c r="AU360" s="273"/>
      <c r="AV360" s="273"/>
      <c r="AW360" s="273"/>
      <c r="AX360" s="273"/>
      <c r="AY360" s="273"/>
      <c r="AZ360" s="273"/>
      <c r="BA360" s="273"/>
      <c r="BB360" s="273"/>
      <c r="BC360" s="273"/>
      <c r="BD360" s="273"/>
      <c r="BE360" s="273"/>
      <c r="BF360" s="273"/>
      <c r="BG360" s="273"/>
      <c r="BH360" s="273"/>
      <c r="BI360" s="273"/>
      <c r="BJ360" s="273"/>
      <c r="BK360" s="335"/>
      <c r="BL360" s="1"/>
      <c r="BM360" s="1"/>
      <c r="BN360" s="1"/>
      <c r="BO360" s="1"/>
      <c r="BP360" s="1"/>
      <c r="BQ360" s="1"/>
      <c r="BR360" s="1"/>
      <c r="BS360" s="1"/>
    </row>
    <row r="361" spans="1:71" ht="7.5" customHeight="1" x14ac:dyDescent="0.25">
      <c r="A361" s="1"/>
      <c r="B361" s="6"/>
      <c r="C361" s="1"/>
      <c r="D361" s="1"/>
      <c r="E361" s="1"/>
      <c r="F361" s="1"/>
      <c r="G361" s="1"/>
      <c r="H361" s="1"/>
      <c r="I361" s="1"/>
      <c r="J361" s="273"/>
      <c r="K361" s="273"/>
      <c r="L361" s="273"/>
      <c r="M361" s="273"/>
      <c r="N361" s="273"/>
      <c r="O361" s="273"/>
      <c r="P361" s="273"/>
      <c r="Q361" s="273"/>
      <c r="R361" s="273"/>
      <c r="S361" s="273"/>
      <c r="T361" s="273"/>
      <c r="U361" s="273"/>
      <c r="V361" s="273"/>
      <c r="W361" s="273"/>
      <c r="X361" s="273"/>
      <c r="Y361" s="273"/>
      <c r="Z361" s="273"/>
      <c r="AA361" s="273"/>
      <c r="AB361" s="273"/>
      <c r="AC361" s="273"/>
      <c r="AD361" s="273"/>
      <c r="AE361" s="273"/>
      <c r="AF361" s="273"/>
      <c r="AG361" s="273"/>
      <c r="AH361" s="273"/>
      <c r="AI361" s="273"/>
      <c r="AJ361" s="273"/>
      <c r="AK361" s="273"/>
      <c r="AL361" s="273"/>
      <c r="AM361" s="273"/>
      <c r="AN361" s="273"/>
      <c r="AO361" s="273"/>
      <c r="AP361" s="273"/>
      <c r="AQ361" s="273"/>
      <c r="AR361" s="273"/>
      <c r="AS361" s="273"/>
      <c r="AT361" s="273"/>
      <c r="AU361" s="273"/>
      <c r="AV361" s="273"/>
      <c r="AW361" s="273"/>
      <c r="AX361" s="273"/>
      <c r="AY361" s="273"/>
      <c r="AZ361" s="273"/>
      <c r="BA361" s="273"/>
      <c r="BB361" s="273"/>
      <c r="BC361" s="273"/>
      <c r="BD361" s="273"/>
      <c r="BE361" s="273"/>
      <c r="BF361" s="273"/>
      <c r="BG361" s="273"/>
      <c r="BH361" s="273"/>
      <c r="BI361" s="273"/>
      <c r="BJ361" s="273"/>
      <c r="BK361" s="335"/>
      <c r="BL361" s="1"/>
      <c r="BM361" s="1"/>
      <c r="BN361" s="1"/>
      <c r="BO361" s="1"/>
      <c r="BP361" s="1"/>
      <c r="BQ361" s="1"/>
      <c r="BR361" s="1"/>
      <c r="BS361" s="1"/>
    </row>
    <row r="362" spans="1:71" ht="7.5" customHeight="1" x14ac:dyDescent="0.25">
      <c r="A362" s="1"/>
      <c r="B362" s="58"/>
      <c r="C362" s="25"/>
      <c r="D362" s="25"/>
      <c r="E362" s="25"/>
      <c r="F362" s="25"/>
      <c r="G362" s="25"/>
      <c r="H362" s="25"/>
      <c r="I362" s="25"/>
      <c r="J362" s="274"/>
      <c r="K362" s="274"/>
      <c r="L362" s="274"/>
      <c r="M362" s="274"/>
      <c r="N362" s="274"/>
      <c r="O362" s="274"/>
      <c r="P362" s="274"/>
      <c r="Q362" s="274"/>
      <c r="R362" s="274"/>
      <c r="S362" s="274"/>
      <c r="T362" s="274"/>
      <c r="U362" s="274"/>
      <c r="V362" s="274"/>
      <c r="W362" s="274"/>
      <c r="X362" s="274"/>
      <c r="Y362" s="274"/>
      <c r="Z362" s="274"/>
      <c r="AA362" s="274"/>
      <c r="AB362" s="274"/>
      <c r="AC362" s="274"/>
      <c r="AD362" s="274"/>
      <c r="AE362" s="274"/>
      <c r="AF362" s="274"/>
      <c r="AG362" s="274"/>
      <c r="AH362" s="274"/>
      <c r="AI362" s="274"/>
      <c r="AJ362" s="274"/>
      <c r="AK362" s="274"/>
      <c r="AL362" s="274"/>
      <c r="AM362" s="274"/>
      <c r="AN362" s="274"/>
      <c r="AO362" s="274"/>
      <c r="AP362" s="274"/>
      <c r="AQ362" s="274"/>
      <c r="AR362" s="274"/>
      <c r="AS362" s="274"/>
      <c r="AT362" s="274"/>
      <c r="AU362" s="274"/>
      <c r="AV362" s="274"/>
      <c r="AW362" s="274"/>
      <c r="AX362" s="274"/>
      <c r="AY362" s="274"/>
      <c r="AZ362" s="274"/>
      <c r="BA362" s="274"/>
      <c r="BB362" s="274"/>
      <c r="BC362" s="274"/>
      <c r="BD362" s="274"/>
      <c r="BE362" s="274"/>
      <c r="BF362" s="274"/>
      <c r="BG362" s="274"/>
      <c r="BH362" s="274"/>
      <c r="BI362" s="274"/>
      <c r="BJ362" s="274"/>
      <c r="BK362" s="337"/>
      <c r="BL362" s="1"/>
      <c r="BM362" s="1"/>
      <c r="BN362" s="1"/>
      <c r="BO362" s="1"/>
      <c r="BP362" s="1"/>
      <c r="BQ362" s="1"/>
      <c r="BR362" s="1"/>
      <c r="BS362" s="1"/>
    </row>
    <row r="363" spans="1:71" ht="7.5" customHeight="1" x14ac:dyDescent="0.25">
      <c r="A363" s="1"/>
      <c r="B363" s="413" t="s">
        <v>1340</v>
      </c>
      <c r="C363" s="414"/>
      <c r="D363" s="414"/>
      <c r="E363" s="414"/>
      <c r="F363" s="414"/>
      <c r="G363" s="414"/>
      <c r="H363" s="414"/>
      <c r="I363" s="414"/>
      <c r="J363" s="414"/>
      <c r="K363" s="414"/>
      <c r="L363" s="414"/>
      <c r="M363" s="414"/>
      <c r="N363" s="414"/>
      <c r="O363" s="414"/>
      <c r="P363" s="414"/>
      <c r="Q363" s="414"/>
      <c r="R363" s="414"/>
      <c r="S363" s="414"/>
      <c r="T363" s="414"/>
      <c r="U363" s="414"/>
      <c r="V363" s="414"/>
      <c r="W363" s="414"/>
      <c r="X363" s="414"/>
      <c r="Y363" s="414"/>
      <c r="Z363" s="414"/>
      <c r="AA363" s="414"/>
      <c r="AB363" s="414"/>
      <c r="AC363" s="414"/>
      <c r="AD363" s="414"/>
      <c r="AE363" s="414"/>
      <c r="AF363" s="414"/>
      <c r="AG363" s="414"/>
      <c r="AH363" s="414"/>
      <c r="AI363" s="414"/>
      <c r="AJ363" s="414"/>
      <c r="AK363" s="414"/>
      <c r="AL363" s="414"/>
      <c r="AM363" s="414"/>
      <c r="AN363" s="414"/>
      <c r="AO363" s="414"/>
      <c r="AP363" s="414"/>
      <c r="AQ363" s="414"/>
      <c r="AR363" s="414"/>
      <c r="AS363" s="414"/>
      <c r="AT363" s="414"/>
      <c r="AU363" s="414"/>
      <c r="AV363" s="414"/>
      <c r="AW363" s="414"/>
      <c r="AX363" s="414"/>
      <c r="AY363" s="415"/>
      <c r="AZ363" s="425" t="s">
        <v>1341</v>
      </c>
      <c r="BA363" s="426"/>
      <c r="BB363" s="426"/>
      <c r="BC363" s="426"/>
      <c r="BD363" s="426"/>
      <c r="BE363" s="426"/>
      <c r="BF363" s="426"/>
      <c r="BG363" s="426"/>
      <c r="BH363" s="426"/>
      <c r="BI363" s="426"/>
      <c r="BJ363" s="426"/>
      <c r="BK363" s="427"/>
      <c r="BL363" s="1"/>
      <c r="BM363" s="1"/>
      <c r="BN363" s="1"/>
      <c r="BO363" s="1"/>
      <c r="BP363" s="1"/>
      <c r="BQ363" s="1"/>
      <c r="BR363" s="1"/>
      <c r="BS363" s="1"/>
    </row>
    <row r="364" spans="1:71" ht="6" customHeight="1" x14ac:dyDescent="0.25">
      <c r="A364" s="1"/>
      <c r="B364" s="416"/>
      <c r="C364" s="409"/>
      <c r="D364" s="409"/>
      <c r="E364" s="409"/>
      <c r="F364" s="409"/>
      <c r="G364" s="409"/>
      <c r="H364" s="409"/>
      <c r="I364" s="409"/>
      <c r="J364" s="409"/>
      <c r="K364" s="409"/>
      <c r="L364" s="409"/>
      <c r="M364" s="409"/>
      <c r="N364" s="409"/>
      <c r="O364" s="409"/>
      <c r="P364" s="409"/>
      <c r="Q364" s="409"/>
      <c r="R364" s="409"/>
      <c r="S364" s="409"/>
      <c r="T364" s="409"/>
      <c r="U364" s="409"/>
      <c r="V364" s="409"/>
      <c r="W364" s="409"/>
      <c r="X364" s="409"/>
      <c r="Y364" s="409"/>
      <c r="Z364" s="409"/>
      <c r="AA364" s="409"/>
      <c r="AB364" s="409"/>
      <c r="AC364" s="409"/>
      <c r="AD364" s="409"/>
      <c r="AE364" s="409"/>
      <c r="AF364" s="409"/>
      <c r="AG364" s="409"/>
      <c r="AH364" s="409"/>
      <c r="AI364" s="409"/>
      <c r="AJ364" s="409"/>
      <c r="AK364" s="409"/>
      <c r="AL364" s="409"/>
      <c r="AM364" s="409"/>
      <c r="AN364" s="409"/>
      <c r="AO364" s="409"/>
      <c r="AP364" s="409"/>
      <c r="AQ364" s="409"/>
      <c r="AR364" s="409"/>
      <c r="AS364" s="409"/>
      <c r="AT364" s="409"/>
      <c r="AU364" s="409"/>
      <c r="AV364" s="409"/>
      <c r="AW364" s="409"/>
      <c r="AX364" s="409"/>
      <c r="AY364" s="417"/>
      <c r="AZ364" s="428"/>
      <c r="BA364" s="321"/>
      <c r="BB364" s="321"/>
      <c r="BC364" s="321"/>
      <c r="BD364" s="321"/>
      <c r="BE364" s="321"/>
      <c r="BF364" s="321"/>
      <c r="BG364" s="321"/>
      <c r="BH364" s="321"/>
      <c r="BI364" s="321"/>
      <c r="BJ364" s="321"/>
      <c r="BK364" s="429"/>
      <c r="BL364" s="1"/>
      <c r="BM364" s="1"/>
      <c r="BN364" s="1"/>
      <c r="BO364" s="1"/>
      <c r="BP364" s="1"/>
      <c r="BQ364" s="1"/>
      <c r="BR364" s="1"/>
      <c r="BS364" s="1"/>
    </row>
    <row r="365" spans="1:71" ht="7.5" customHeight="1" x14ac:dyDescent="0.25">
      <c r="A365" s="1"/>
      <c r="B365" s="422"/>
      <c r="C365" s="423"/>
      <c r="D365" s="423"/>
      <c r="E365" s="423"/>
      <c r="F365" s="423"/>
      <c r="G365" s="423"/>
      <c r="H365" s="423"/>
      <c r="I365" s="423"/>
      <c r="J365" s="423"/>
      <c r="K365" s="423"/>
      <c r="L365" s="423"/>
      <c r="M365" s="423"/>
      <c r="N365" s="423"/>
      <c r="O365" s="423"/>
      <c r="P365" s="423"/>
      <c r="Q365" s="423"/>
      <c r="R365" s="423"/>
      <c r="S365" s="423"/>
      <c r="T365" s="423"/>
      <c r="U365" s="423"/>
      <c r="V365" s="423"/>
      <c r="W365" s="423"/>
      <c r="X365" s="423"/>
      <c r="Y365" s="423"/>
      <c r="Z365" s="423"/>
      <c r="AA365" s="423"/>
      <c r="AB365" s="423"/>
      <c r="AC365" s="423"/>
      <c r="AD365" s="423"/>
      <c r="AE365" s="423"/>
      <c r="AF365" s="423"/>
      <c r="AG365" s="423"/>
      <c r="AH365" s="423"/>
      <c r="AI365" s="423"/>
      <c r="AJ365" s="423"/>
      <c r="AK365" s="423"/>
      <c r="AL365" s="423"/>
      <c r="AM365" s="423"/>
      <c r="AN365" s="423"/>
      <c r="AO365" s="423"/>
      <c r="AP365" s="423"/>
      <c r="AQ365" s="423"/>
      <c r="AR365" s="423"/>
      <c r="AS365" s="423"/>
      <c r="AT365" s="423"/>
      <c r="AU365" s="423"/>
      <c r="AV365" s="423"/>
      <c r="AW365" s="423"/>
      <c r="AX365" s="423"/>
      <c r="AY365" s="424"/>
      <c r="AZ365" s="430"/>
      <c r="BA365" s="322"/>
      <c r="BB365" s="322"/>
      <c r="BC365" s="322"/>
      <c r="BD365" s="322"/>
      <c r="BE365" s="322"/>
      <c r="BF365" s="322"/>
      <c r="BG365" s="322"/>
      <c r="BH365" s="322"/>
      <c r="BI365" s="322"/>
      <c r="BJ365" s="322"/>
      <c r="BK365" s="431"/>
      <c r="BL365" s="1"/>
      <c r="BM365" s="1"/>
      <c r="BN365" s="1"/>
      <c r="BO365" s="1"/>
      <c r="BP365" s="1"/>
      <c r="BQ365" s="1"/>
      <c r="BR365" s="1"/>
      <c r="BS365" s="1"/>
    </row>
    <row r="366" spans="1:71" ht="7.5" customHeight="1" x14ac:dyDescent="0.25">
      <c r="A366" s="1"/>
      <c r="B366" s="332"/>
      <c r="C366" s="275"/>
      <c r="D366" s="275"/>
      <c r="E366" s="275"/>
      <c r="F366" s="275"/>
      <c r="G366" s="275"/>
      <c r="H366" s="275"/>
      <c r="I366" s="275"/>
      <c r="J366" s="275"/>
      <c r="K366" s="275"/>
      <c r="L366" s="275"/>
      <c r="M366" s="275"/>
      <c r="N366" s="275"/>
      <c r="O366" s="275"/>
      <c r="P366" s="275"/>
      <c r="Q366" s="275"/>
      <c r="R366" s="275"/>
      <c r="S366" s="275"/>
      <c r="T366" s="275"/>
      <c r="U366" s="275"/>
      <c r="V366" s="275"/>
      <c r="W366" s="275"/>
      <c r="X366" s="275"/>
      <c r="Y366" s="275"/>
      <c r="Z366" s="275"/>
      <c r="AA366" s="275"/>
      <c r="AB366" s="275"/>
      <c r="AC366" s="275"/>
      <c r="AD366" s="275"/>
      <c r="AE366" s="275"/>
      <c r="AF366" s="275"/>
      <c r="AG366" s="275"/>
      <c r="AH366" s="275"/>
      <c r="AI366" s="275"/>
      <c r="AJ366" s="275"/>
      <c r="AK366" s="275"/>
      <c r="AL366" s="275"/>
      <c r="AM366" s="275"/>
      <c r="AN366" s="275"/>
      <c r="AO366" s="275"/>
      <c r="AP366" s="275"/>
      <c r="AQ366" s="275"/>
      <c r="AR366" s="275"/>
      <c r="AS366" s="275"/>
      <c r="AT366" s="275"/>
      <c r="AU366" s="275"/>
      <c r="AV366" s="275"/>
      <c r="AW366" s="275"/>
      <c r="AX366" s="275"/>
      <c r="AY366" s="333"/>
      <c r="AZ366" s="332"/>
      <c r="BA366" s="275"/>
      <c r="BB366" s="275"/>
      <c r="BC366" s="275"/>
      <c r="BD366" s="275"/>
      <c r="BE366" s="275"/>
      <c r="BF366" s="275"/>
      <c r="BG366" s="275"/>
      <c r="BH366" s="275"/>
      <c r="BI366" s="275"/>
      <c r="BJ366" s="275"/>
      <c r="BK366" s="333"/>
      <c r="BL366" s="1"/>
      <c r="BM366" s="1"/>
      <c r="BN366" s="1"/>
      <c r="BO366" s="1"/>
      <c r="BP366" s="1"/>
      <c r="BQ366" s="1"/>
      <c r="BR366" s="1"/>
      <c r="BS366" s="1"/>
    </row>
    <row r="367" spans="1:71" ht="7.5" customHeight="1" x14ac:dyDescent="0.25">
      <c r="A367" s="1"/>
      <c r="B367" s="334"/>
      <c r="C367" s="273"/>
      <c r="D367" s="273"/>
      <c r="E367" s="273"/>
      <c r="F367" s="273"/>
      <c r="G367" s="273"/>
      <c r="H367" s="273"/>
      <c r="I367" s="273"/>
      <c r="J367" s="273"/>
      <c r="K367" s="273"/>
      <c r="L367" s="273"/>
      <c r="M367" s="273"/>
      <c r="N367" s="273"/>
      <c r="O367" s="273"/>
      <c r="P367" s="273"/>
      <c r="Q367" s="273"/>
      <c r="R367" s="273"/>
      <c r="S367" s="273"/>
      <c r="T367" s="273"/>
      <c r="U367" s="273"/>
      <c r="V367" s="273"/>
      <c r="W367" s="273"/>
      <c r="X367" s="273"/>
      <c r="Y367" s="273"/>
      <c r="Z367" s="273"/>
      <c r="AA367" s="273"/>
      <c r="AB367" s="273"/>
      <c r="AC367" s="273"/>
      <c r="AD367" s="273"/>
      <c r="AE367" s="273"/>
      <c r="AF367" s="273"/>
      <c r="AG367" s="273"/>
      <c r="AH367" s="273"/>
      <c r="AI367" s="273"/>
      <c r="AJ367" s="273"/>
      <c r="AK367" s="273"/>
      <c r="AL367" s="273"/>
      <c r="AM367" s="273"/>
      <c r="AN367" s="273"/>
      <c r="AO367" s="273"/>
      <c r="AP367" s="273"/>
      <c r="AQ367" s="273"/>
      <c r="AR367" s="273"/>
      <c r="AS367" s="273"/>
      <c r="AT367" s="273"/>
      <c r="AU367" s="273"/>
      <c r="AV367" s="273"/>
      <c r="AW367" s="273"/>
      <c r="AX367" s="273"/>
      <c r="AY367" s="335"/>
      <c r="AZ367" s="334"/>
      <c r="BA367" s="273"/>
      <c r="BB367" s="273"/>
      <c r="BC367" s="273"/>
      <c r="BD367" s="273"/>
      <c r="BE367" s="273"/>
      <c r="BF367" s="273"/>
      <c r="BG367" s="273"/>
      <c r="BH367" s="273"/>
      <c r="BI367" s="273"/>
      <c r="BJ367" s="273"/>
      <c r="BK367" s="335"/>
      <c r="BL367" s="1"/>
      <c r="BM367" s="1"/>
      <c r="BN367" s="1"/>
      <c r="BO367" s="1"/>
      <c r="BP367" s="1"/>
      <c r="BQ367" s="1"/>
      <c r="BR367" s="1"/>
      <c r="BS367" s="1"/>
    </row>
    <row r="368" spans="1:71" ht="7.5" customHeight="1" x14ac:dyDescent="0.25">
      <c r="A368" s="1"/>
      <c r="B368" s="334"/>
      <c r="C368" s="273"/>
      <c r="D368" s="273"/>
      <c r="E368" s="273"/>
      <c r="F368" s="273"/>
      <c r="G368" s="273"/>
      <c r="H368" s="273"/>
      <c r="I368" s="273"/>
      <c r="J368" s="273"/>
      <c r="K368" s="273"/>
      <c r="L368" s="273"/>
      <c r="M368" s="273"/>
      <c r="N368" s="273"/>
      <c r="O368" s="273"/>
      <c r="P368" s="273"/>
      <c r="Q368" s="273"/>
      <c r="R368" s="273"/>
      <c r="S368" s="273"/>
      <c r="T368" s="273"/>
      <c r="U368" s="273"/>
      <c r="V368" s="273"/>
      <c r="W368" s="273"/>
      <c r="X368" s="273"/>
      <c r="Y368" s="273"/>
      <c r="Z368" s="273"/>
      <c r="AA368" s="273"/>
      <c r="AB368" s="273"/>
      <c r="AC368" s="273"/>
      <c r="AD368" s="273"/>
      <c r="AE368" s="273"/>
      <c r="AF368" s="273"/>
      <c r="AG368" s="273"/>
      <c r="AH368" s="273"/>
      <c r="AI368" s="273"/>
      <c r="AJ368" s="273"/>
      <c r="AK368" s="273"/>
      <c r="AL368" s="273"/>
      <c r="AM368" s="273"/>
      <c r="AN368" s="273"/>
      <c r="AO368" s="273"/>
      <c r="AP368" s="273"/>
      <c r="AQ368" s="273"/>
      <c r="AR368" s="273"/>
      <c r="AS368" s="273"/>
      <c r="AT368" s="273"/>
      <c r="AU368" s="273"/>
      <c r="AV368" s="273"/>
      <c r="AW368" s="273"/>
      <c r="AX368" s="273"/>
      <c r="AY368" s="335"/>
      <c r="AZ368" s="334"/>
      <c r="BA368" s="273"/>
      <c r="BB368" s="273"/>
      <c r="BC368" s="273"/>
      <c r="BD368" s="273"/>
      <c r="BE368" s="273"/>
      <c r="BF368" s="273"/>
      <c r="BG368" s="273"/>
      <c r="BH368" s="273"/>
      <c r="BI368" s="273"/>
      <c r="BJ368" s="273"/>
      <c r="BK368" s="335"/>
      <c r="BL368" s="1"/>
      <c r="BM368" s="1"/>
      <c r="BN368" s="1"/>
      <c r="BO368" s="1"/>
      <c r="BP368" s="1"/>
      <c r="BQ368" s="1"/>
      <c r="BR368" s="1"/>
      <c r="BS368" s="1"/>
    </row>
    <row r="369" spans="1:71" ht="7.5" customHeight="1" x14ac:dyDescent="0.25">
      <c r="A369" s="1"/>
      <c r="B369" s="334"/>
      <c r="C369" s="273"/>
      <c r="D369" s="273"/>
      <c r="E369" s="273"/>
      <c r="F369" s="273"/>
      <c r="G369" s="273"/>
      <c r="H369" s="273"/>
      <c r="I369" s="273"/>
      <c r="J369" s="273"/>
      <c r="K369" s="273"/>
      <c r="L369" s="273"/>
      <c r="M369" s="273"/>
      <c r="N369" s="273"/>
      <c r="O369" s="273"/>
      <c r="P369" s="273"/>
      <c r="Q369" s="273"/>
      <c r="R369" s="273"/>
      <c r="S369" s="273"/>
      <c r="T369" s="273"/>
      <c r="U369" s="273"/>
      <c r="V369" s="273"/>
      <c r="W369" s="273"/>
      <c r="X369" s="273"/>
      <c r="Y369" s="273"/>
      <c r="Z369" s="273"/>
      <c r="AA369" s="273"/>
      <c r="AB369" s="273"/>
      <c r="AC369" s="273"/>
      <c r="AD369" s="273"/>
      <c r="AE369" s="273"/>
      <c r="AF369" s="273"/>
      <c r="AG369" s="273"/>
      <c r="AH369" s="273"/>
      <c r="AI369" s="273"/>
      <c r="AJ369" s="273"/>
      <c r="AK369" s="273"/>
      <c r="AL369" s="273"/>
      <c r="AM369" s="273"/>
      <c r="AN369" s="273"/>
      <c r="AO369" s="273"/>
      <c r="AP369" s="273"/>
      <c r="AQ369" s="273"/>
      <c r="AR369" s="273"/>
      <c r="AS369" s="273"/>
      <c r="AT369" s="273"/>
      <c r="AU369" s="273"/>
      <c r="AV369" s="273"/>
      <c r="AW369" s="273"/>
      <c r="AX369" s="273"/>
      <c r="AY369" s="335"/>
      <c r="AZ369" s="334"/>
      <c r="BA369" s="273"/>
      <c r="BB369" s="273"/>
      <c r="BC369" s="273"/>
      <c r="BD369" s="273"/>
      <c r="BE369" s="273"/>
      <c r="BF369" s="273"/>
      <c r="BG369" s="273"/>
      <c r="BH369" s="273"/>
      <c r="BI369" s="273"/>
      <c r="BJ369" s="273"/>
      <c r="BK369" s="335"/>
      <c r="BL369" s="1"/>
      <c r="BM369" s="1"/>
      <c r="BN369" s="1"/>
      <c r="BO369" s="1"/>
      <c r="BP369" s="1"/>
      <c r="BQ369" s="1"/>
      <c r="BR369" s="1"/>
      <c r="BS369" s="1"/>
    </row>
    <row r="370" spans="1:71" ht="7.5" customHeight="1" x14ac:dyDescent="0.25">
      <c r="A370" s="1"/>
      <c r="B370" s="334"/>
      <c r="C370" s="273"/>
      <c r="D370" s="273"/>
      <c r="E370" s="273"/>
      <c r="F370" s="273"/>
      <c r="G370" s="273"/>
      <c r="H370" s="273"/>
      <c r="I370" s="273"/>
      <c r="J370" s="273"/>
      <c r="K370" s="273"/>
      <c r="L370" s="273"/>
      <c r="M370" s="273"/>
      <c r="N370" s="273"/>
      <c r="O370" s="273"/>
      <c r="P370" s="273"/>
      <c r="Q370" s="273"/>
      <c r="R370" s="273"/>
      <c r="S370" s="273"/>
      <c r="T370" s="273"/>
      <c r="U370" s="273"/>
      <c r="V370" s="273"/>
      <c r="W370" s="273"/>
      <c r="X370" s="273"/>
      <c r="Y370" s="273"/>
      <c r="Z370" s="273"/>
      <c r="AA370" s="273"/>
      <c r="AB370" s="273"/>
      <c r="AC370" s="273"/>
      <c r="AD370" s="273"/>
      <c r="AE370" s="273"/>
      <c r="AF370" s="273"/>
      <c r="AG370" s="273"/>
      <c r="AH370" s="273"/>
      <c r="AI370" s="273"/>
      <c r="AJ370" s="273"/>
      <c r="AK370" s="273"/>
      <c r="AL370" s="273"/>
      <c r="AM370" s="273"/>
      <c r="AN370" s="273"/>
      <c r="AO370" s="273"/>
      <c r="AP370" s="273"/>
      <c r="AQ370" s="273"/>
      <c r="AR370" s="273"/>
      <c r="AS370" s="273"/>
      <c r="AT370" s="273"/>
      <c r="AU370" s="273"/>
      <c r="AV370" s="273"/>
      <c r="AW370" s="273"/>
      <c r="AX370" s="273"/>
      <c r="AY370" s="335"/>
      <c r="AZ370" s="334"/>
      <c r="BA370" s="273"/>
      <c r="BB370" s="273"/>
      <c r="BC370" s="273"/>
      <c r="BD370" s="273"/>
      <c r="BE370" s="273"/>
      <c r="BF370" s="273"/>
      <c r="BG370" s="273"/>
      <c r="BH370" s="273"/>
      <c r="BI370" s="273"/>
      <c r="BJ370" s="273"/>
      <c r="BK370" s="335"/>
      <c r="BL370" s="1"/>
      <c r="BM370" s="1"/>
      <c r="BN370" s="1"/>
      <c r="BO370" s="1"/>
      <c r="BP370" s="1"/>
      <c r="BQ370" s="1"/>
      <c r="BR370" s="1"/>
      <c r="BS370" s="1"/>
    </row>
    <row r="371" spans="1:71" ht="7.5" customHeight="1" x14ac:dyDescent="0.25">
      <c r="A371" s="1"/>
      <c r="B371" s="334"/>
      <c r="C371" s="273"/>
      <c r="D371" s="273"/>
      <c r="E371" s="273"/>
      <c r="F371" s="273"/>
      <c r="G371" s="273"/>
      <c r="H371" s="273"/>
      <c r="I371" s="273"/>
      <c r="J371" s="273"/>
      <c r="K371" s="273"/>
      <c r="L371" s="273"/>
      <c r="M371" s="273"/>
      <c r="N371" s="273"/>
      <c r="O371" s="273"/>
      <c r="P371" s="273"/>
      <c r="Q371" s="273"/>
      <c r="R371" s="273"/>
      <c r="S371" s="273"/>
      <c r="T371" s="273"/>
      <c r="U371" s="273"/>
      <c r="V371" s="273"/>
      <c r="W371" s="273"/>
      <c r="X371" s="273"/>
      <c r="Y371" s="273"/>
      <c r="Z371" s="273"/>
      <c r="AA371" s="273"/>
      <c r="AB371" s="273"/>
      <c r="AC371" s="273"/>
      <c r="AD371" s="273"/>
      <c r="AE371" s="273"/>
      <c r="AF371" s="273"/>
      <c r="AG371" s="273"/>
      <c r="AH371" s="273"/>
      <c r="AI371" s="273"/>
      <c r="AJ371" s="273"/>
      <c r="AK371" s="273"/>
      <c r="AL371" s="273"/>
      <c r="AM371" s="273"/>
      <c r="AN371" s="273"/>
      <c r="AO371" s="273"/>
      <c r="AP371" s="273"/>
      <c r="AQ371" s="273"/>
      <c r="AR371" s="273"/>
      <c r="AS371" s="273"/>
      <c r="AT371" s="273"/>
      <c r="AU371" s="273"/>
      <c r="AV371" s="273"/>
      <c r="AW371" s="273"/>
      <c r="AX371" s="273"/>
      <c r="AY371" s="335"/>
      <c r="AZ371" s="334"/>
      <c r="BA371" s="273"/>
      <c r="BB371" s="273"/>
      <c r="BC371" s="273"/>
      <c r="BD371" s="273"/>
      <c r="BE371" s="273"/>
      <c r="BF371" s="273"/>
      <c r="BG371" s="273"/>
      <c r="BH371" s="273"/>
      <c r="BI371" s="273"/>
      <c r="BJ371" s="273"/>
      <c r="BK371" s="335"/>
      <c r="BL371" s="1"/>
      <c r="BM371" s="1"/>
      <c r="BN371" s="1"/>
      <c r="BO371" s="1"/>
      <c r="BP371" s="1"/>
      <c r="BQ371" s="1"/>
      <c r="BR371" s="1"/>
      <c r="BS371" s="1"/>
    </row>
    <row r="372" spans="1:71" ht="7.5" customHeight="1" x14ac:dyDescent="0.25">
      <c r="A372" s="1"/>
      <c r="B372" s="334"/>
      <c r="C372" s="273"/>
      <c r="D372" s="273"/>
      <c r="E372" s="273"/>
      <c r="F372" s="273"/>
      <c r="G372" s="273"/>
      <c r="H372" s="273"/>
      <c r="I372" s="273"/>
      <c r="J372" s="273"/>
      <c r="K372" s="273"/>
      <c r="L372" s="273"/>
      <c r="M372" s="273"/>
      <c r="N372" s="273"/>
      <c r="O372" s="273"/>
      <c r="P372" s="273"/>
      <c r="Q372" s="273"/>
      <c r="R372" s="273"/>
      <c r="S372" s="273"/>
      <c r="T372" s="273"/>
      <c r="U372" s="273"/>
      <c r="V372" s="273"/>
      <c r="W372" s="273"/>
      <c r="X372" s="273"/>
      <c r="Y372" s="273"/>
      <c r="Z372" s="273"/>
      <c r="AA372" s="273"/>
      <c r="AB372" s="273"/>
      <c r="AC372" s="273"/>
      <c r="AD372" s="273"/>
      <c r="AE372" s="273"/>
      <c r="AF372" s="273"/>
      <c r="AG372" s="273"/>
      <c r="AH372" s="273"/>
      <c r="AI372" s="273"/>
      <c r="AJ372" s="273"/>
      <c r="AK372" s="273"/>
      <c r="AL372" s="273"/>
      <c r="AM372" s="273"/>
      <c r="AN372" s="273"/>
      <c r="AO372" s="273"/>
      <c r="AP372" s="273"/>
      <c r="AQ372" s="273"/>
      <c r="AR372" s="273"/>
      <c r="AS372" s="273"/>
      <c r="AT372" s="273"/>
      <c r="AU372" s="273"/>
      <c r="AV372" s="273"/>
      <c r="AW372" s="273"/>
      <c r="AX372" s="273"/>
      <c r="AY372" s="335"/>
      <c r="AZ372" s="334"/>
      <c r="BA372" s="273"/>
      <c r="BB372" s="273"/>
      <c r="BC372" s="273"/>
      <c r="BD372" s="273"/>
      <c r="BE372" s="273"/>
      <c r="BF372" s="273"/>
      <c r="BG372" s="273"/>
      <c r="BH372" s="273"/>
      <c r="BI372" s="273"/>
      <c r="BJ372" s="273"/>
      <c r="BK372" s="335"/>
      <c r="BL372" s="1"/>
      <c r="BM372" s="1"/>
      <c r="BN372" s="1"/>
      <c r="BO372" s="1"/>
      <c r="BP372" s="1"/>
      <c r="BQ372" s="1"/>
      <c r="BR372" s="1"/>
      <c r="BS372" s="1"/>
    </row>
    <row r="373" spans="1:71" ht="7.5" customHeight="1" x14ac:dyDescent="0.25">
      <c r="A373" s="1"/>
      <c r="B373" s="334"/>
      <c r="C373" s="273"/>
      <c r="D373" s="273"/>
      <c r="E373" s="273"/>
      <c r="F373" s="273"/>
      <c r="G373" s="273"/>
      <c r="H373" s="273"/>
      <c r="I373" s="273"/>
      <c r="J373" s="273"/>
      <c r="K373" s="273"/>
      <c r="L373" s="273"/>
      <c r="M373" s="273"/>
      <c r="N373" s="273"/>
      <c r="O373" s="273"/>
      <c r="P373" s="273"/>
      <c r="Q373" s="273"/>
      <c r="R373" s="273"/>
      <c r="S373" s="273"/>
      <c r="T373" s="273"/>
      <c r="U373" s="273"/>
      <c r="V373" s="273"/>
      <c r="W373" s="273"/>
      <c r="X373" s="273"/>
      <c r="Y373" s="273"/>
      <c r="Z373" s="273"/>
      <c r="AA373" s="273"/>
      <c r="AB373" s="273"/>
      <c r="AC373" s="273"/>
      <c r="AD373" s="273"/>
      <c r="AE373" s="273"/>
      <c r="AF373" s="273"/>
      <c r="AG373" s="273"/>
      <c r="AH373" s="273"/>
      <c r="AI373" s="273"/>
      <c r="AJ373" s="273"/>
      <c r="AK373" s="273"/>
      <c r="AL373" s="273"/>
      <c r="AM373" s="273"/>
      <c r="AN373" s="273"/>
      <c r="AO373" s="273"/>
      <c r="AP373" s="273"/>
      <c r="AQ373" s="273"/>
      <c r="AR373" s="273"/>
      <c r="AS373" s="273"/>
      <c r="AT373" s="273"/>
      <c r="AU373" s="273"/>
      <c r="AV373" s="273"/>
      <c r="AW373" s="273"/>
      <c r="AX373" s="273"/>
      <c r="AY373" s="335"/>
      <c r="AZ373" s="334"/>
      <c r="BA373" s="273"/>
      <c r="BB373" s="273"/>
      <c r="BC373" s="273"/>
      <c r="BD373" s="273"/>
      <c r="BE373" s="273"/>
      <c r="BF373" s="273"/>
      <c r="BG373" s="273"/>
      <c r="BH373" s="273"/>
      <c r="BI373" s="273"/>
      <c r="BJ373" s="273"/>
      <c r="BK373" s="335"/>
      <c r="BL373" s="1"/>
      <c r="BM373" s="1"/>
      <c r="BN373" s="1"/>
      <c r="BO373" s="1"/>
      <c r="BP373" s="1"/>
      <c r="BQ373" s="1"/>
      <c r="BR373" s="1"/>
      <c r="BS373" s="1"/>
    </row>
    <row r="374" spans="1:71" ht="7.5" customHeight="1" x14ac:dyDescent="0.25">
      <c r="A374" s="1"/>
      <c r="B374" s="334"/>
      <c r="C374" s="273"/>
      <c r="D374" s="273"/>
      <c r="E374" s="273"/>
      <c r="F374" s="273"/>
      <c r="G374" s="273"/>
      <c r="H374" s="273"/>
      <c r="I374" s="273"/>
      <c r="J374" s="273"/>
      <c r="K374" s="273"/>
      <c r="L374" s="273"/>
      <c r="M374" s="273"/>
      <c r="N374" s="273"/>
      <c r="O374" s="273"/>
      <c r="P374" s="273"/>
      <c r="Q374" s="273"/>
      <c r="R374" s="273"/>
      <c r="S374" s="273"/>
      <c r="T374" s="273"/>
      <c r="U374" s="273"/>
      <c r="V374" s="273"/>
      <c r="W374" s="273"/>
      <c r="X374" s="273"/>
      <c r="Y374" s="273"/>
      <c r="Z374" s="273"/>
      <c r="AA374" s="273"/>
      <c r="AB374" s="273"/>
      <c r="AC374" s="273"/>
      <c r="AD374" s="273"/>
      <c r="AE374" s="273"/>
      <c r="AF374" s="273"/>
      <c r="AG374" s="273"/>
      <c r="AH374" s="273"/>
      <c r="AI374" s="273"/>
      <c r="AJ374" s="273"/>
      <c r="AK374" s="273"/>
      <c r="AL374" s="273"/>
      <c r="AM374" s="273"/>
      <c r="AN374" s="273"/>
      <c r="AO374" s="273"/>
      <c r="AP374" s="273"/>
      <c r="AQ374" s="273"/>
      <c r="AR374" s="273"/>
      <c r="AS374" s="273"/>
      <c r="AT374" s="273"/>
      <c r="AU374" s="273"/>
      <c r="AV374" s="273"/>
      <c r="AW374" s="273"/>
      <c r="AX374" s="273"/>
      <c r="AY374" s="335"/>
      <c r="AZ374" s="334"/>
      <c r="BA374" s="273"/>
      <c r="BB374" s="273"/>
      <c r="BC374" s="273"/>
      <c r="BD374" s="273"/>
      <c r="BE374" s="273"/>
      <c r="BF374" s="273"/>
      <c r="BG374" s="273"/>
      <c r="BH374" s="273"/>
      <c r="BI374" s="273"/>
      <c r="BJ374" s="273"/>
      <c r="BK374" s="335"/>
      <c r="BL374" s="1"/>
      <c r="BM374" s="1"/>
      <c r="BN374" s="1"/>
      <c r="BO374" s="1"/>
      <c r="BP374" s="1"/>
      <c r="BQ374" s="1"/>
      <c r="BR374" s="1"/>
      <c r="BS374" s="1"/>
    </row>
    <row r="375" spans="1:71" ht="7.5" customHeight="1" x14ac:dyDescent="0.25">
      <c r="A375" s="1"/>
      <c r="B375" s="336"/>
      <c r="C375" s="274"/>
      <c r="D375" s="274"/>
      <c r="E375" s="274"/>
      <c r="F375" s="274"/>
      <c r="G375" s="274"/>
      <c r="H375" s="274"/>
      <c r="I375" s="274"/>
      <c r="J375" s="274"/>
      <c r="K375" s="274"/>
      <c r="L375" s="274"/>
      <c r="M375" s="274"/>
      <c r="N375" s="274"/>
      <c r="O375" s="274"/>
      <c r="P375" s="274"/>
      <c r="Q375" s="274"/>
      <c r="R375" s="274"/>
      <c r="S375" s="274"/>
      <c r="T375" s="274"/>
      <c r="U375" s="274"/>
      <c r="V375" s="274"/>
      <c r="W375" s="274"/>
      <c r="X375" s="274"/>
      <c r="Y375" s="274"/>
      <c r="Z375" s="274"/>
      <c r="AA375" s="274"/>
      <c r="AB375" s="274"/>
      <c r="AC375" s="274"/>
      <c r="AD375" s="274"/>
      <c r="AE375" s="274"/>
      <c r="AF375" s="274"/>
      <c r="AG375" s="274"/>
      <c r="AH375" s="274"/>
      <c r="AI375" s="274"/>
      <c r="AJ375" s="274"/>
      <c r="AK375" s="274"/>
      <c r="AL375" s="274"/>
      <c r="AM375" s="274"/>
      <c r="AN375" s="274"/>
      <c r="AO375" s="274"/>
      <c r="AP375" s="274"/>
      <c r="AQ375" s="274"/>
      <c r="AR375" s="274"/>
      <c r="AS375" s="274"/>
      <c r="AT375" s="274"/>
      <c r="AU375" s="274"/>
      <c r="AV375" s="274"/>
      <c r="AW375" s="274"/>
      <c r="AX375" s="274"/>
      <c r="AY375" s="337"/>
      <c r="AZ375" s="336"/>
      <c r="BA375" s="274"/>
      <c r="BB375" s="274"/>
      <c r="BC375" s="274"/>
      <c r="BD375" s="274"/>
      <c r="BE375" s="274"/>
      <c r="BF375" s="274"/>
      <c r="BG375" s="274"/>
      <c r="BH375" s="274"/>
      <c r="BI375" s="274"/>
      <c r="BJ375" s="274"/>
      <c r="BK375" s="337"/>
      <c r="BL375" s="1"/>
      <c r="BM375" s="1"/>
      <c r="BN375" s="1"/>
      <c r="BO375" s="1"/>
      <c r="BP375" s="1"/>
      <c r="BQ375" s="1"/>
      <c r="BR375" s="1"/>
      <c r="BS375" s="1"/>
    </row>
    <row r="376" spans="1:71" ht="7.5" customHeight="1" x14ac:dyDescent="0.25">
      <c r="A376" s="1"/>
      <c r="B376" s="332"/>
      <c r="C376" s="275"/>
      <c r="D376" s="275"/>
      <c r="E376" s="275"/>
      <c r="F376" s="275"/>
      <c r="G376" s="275"/>
      <c r="H376" s="275"/>
      <c r="I376" s="275"/>
      <c r="J376" s="275"/>
      <c r="K376" s="275"/>
      <c r="L376" s="275"/>
      <c r="M376" s="275"/>
      <c r="N376" s="275"/>
      <c r="O376" s="275"/>
      <c r="P376" s="275"/>
      <c r="Q376" s="275"/>
      <c r="R376" s="275"/>
      <c r="S376" s="275"/>
      <c r="T376" s="275"/>
      <c r="U376" s="275"/>
      <c r="V376" s="275"/>
      <c r="W376" s="275"/>
      <c r="X376" s="275"/>
      <c r="Y376" s="275"/>
      <c r="Z376" s="275"/>
      <c r="AA376" s="275"/>
      <c r="AB376" s="275"/>
      <c r="AC376" s="275"/>
      <c r="AD376" s="275"/>
      <c r="AE376" s="275"/>
      <c r="AF376" s="275"/>
      <c r="AG376" s="275"/>
      <c r="AH376" s="275"/>
      <c r="AI376" s="275"/>
      <c r="AJ376" s="275"/>
      <c r="AK376" s="275"/>
      <c r="AL376" s="275"/>
      <c r="AM376" s="275"/>
      <c r="AN376" s="275"/>
      <c r="AO376" s="275"/>
      <c r="AP376" s="275"/>
      <c r="AQ376" s="275"/>
      <c r="AR376" s="275"/>
      <c r="AS376" s="275"/>
      <c r="AT376" s="275"/>
      <c r="AU376" s="275"/>
      <c r="AV376" s="275"/>
      <c r="AW376" s="275"/>
      <c r="AX376" s="275"/>
      <c r="AY376" s="333"/>
      <c r="AZ376" s="332"/>
      <c r="BA376" s="275"/>
      <c r="BB376" s="275"/>
      <c r="BC376" s="275"/>
      <c r="BD376" s="275"/>
      <c r="BE376" s="275"/>
      <c r="BF376" s="275"/>
      <c r="BG376" s="275"/>
      <c r="BH376" s="275"/>
      <c r="BI376" s="275"/>
      <c r="BJ376" s="275"/>
      <c r="BK376" s="333"/>
      <c r="BL376" s="1"/>
      <c r="BM376" s="1"/>
      <c r="BN376" s="1"/>
      <c r="BO376" s="1"/>
      <c r="BP376" s="1"/>
      <c r="BQ376" s="1"/>
      <c r="BR376" s="1"/>
      <c r="BS376" s="1"/>
    </row>
    <row r="377" spans="1:71" ht="7.5" customHeight="1" x14ac:dyDescent="0.25">
      <c r="A377" s="1"/>
      <c r="B377" s="334"/>
      <c r="C377" s="273"/>
      <c r="D377" s="273"/>
      <c r="E377" s="273"/>
      <c r="F377" s="273"/>
      <c r="G377" s="273"/>
      <c r="H377" s="273"/>
      <c r="I377" s="273"/>
      <c r="J377" s="273"/>
      <c r="K377" s="273"/>
      <c r="L377" s="273"/>
      <c r="M377" s="273"/>
      <c r="N377" s="273"/>
      <c r="O377" s="273"/>
      <c r="P377" s="273"/>
      <c r="Q377" s="273"/>
      <c r="R377" s="273"/>
      <c r="S377" s="273"/>
      <c r="T377" s="273"/>
      <c r="U377" s="273"/>
      <c r="V377" s="273"/>
      <c r="W377" s="273"/>
      <c r="X377" s="273"/>
      <c r="Y377" s="273"/>
      <c r="Z377" s="273"/>
      <c r="AA377" s="273"/>
      <c r="AB377" s="273"/>
      <c r="AC377" s="273"/>
      <c r="AD377" s="273"/>
      <c r="AE377" s="273"/>
      <c r="AF377" s="273"/>
      <c r="AG377" s="273"/>
      <c r="AH377" s="273"/>
      <c r="AI377" s="273"/>
      <c r="AJ377" s="273"/>
      <c r="AK377" s="273"/>
      <c r="AL377" s="273"/>
      <c r="AM377" s="273"/>
      <c r="AN377" s="273"/>
      <c r="AO377" s="273"/>
      <c r="AP377" s="273"/>
      <c r="AQ377" s="273"/>
      <c r="AR377" s="273"/>
      <c r="AS377" s="273"/>
      <c r="AT377" s="273"/>
      <c r="AU377" s="273"/>
      <c r="AV377" s="273"/>
      <c r="AW377" s="273"/>
      <c r="AX377" s="273"/>
      <c r="AY377" s="335"/>
      <c r="AZ377" s="334"/>
      <c r="BA377" s="273"/>
      <c r="BB377" s="273"/>
      <c r="BC377" s="273"/>
      <c r="BD377" s="273"/>
      <c r="BE377" s="273"/>
      <c r="BF377" s="273"/>
      <c r="BG377" s="273"/>
      <c r="BH377" s="273"/>
      <c r="BI377" s="273"/>
      <c r="BJ377" s="273"/>
      <c r="BK377" s="335"/>
      <c r="BL377" s="1"/>
      <c r="BM377" s="1"/>
      <c r="BN377" s="1"/>
      <c r="BO377" s="1"/>
      <c r="BP377" s="1"/>
      <c r="BQ377" s="1"/>
      <c r="BR377" s="1"/>
      <c r="BS377" s="1"/>
    </row>
    <row r="378" spans="1:71" ht="7.5" customHeight="1" x14ac:dyDescent="0.25">
      <c r="A378" s="1"/>
      <c r="B378" s="334"/>
      <c r="C378" s="273"/>
      <c r="D378" s="273"/>
      <c r="E378" s="273"/>
      <c r="F378" s="273"/>
      <c r="G378" s="273"/>
      <c r="H378" s="273"/>
      <c r="I378" s="273"/>
      <c r="J378" s="273"/>
      <c r="K378" s="273"/>
      <c r="L378" s="273"/>
      <c r="M378" s="273"/>
      <c r="N378" s="273"/>
      <c r="O378" s="273"/>
      <c r="P378" s="273"/>
      <c r="Q378" s="273"/>
      <c r="R378" s="273"/>
      <c r="S378" s="273"/>
      <c r="T378" s="273"/>
      <c r="U378" s="273"/>
      <c r="V378" s="273"/>
      <c r="W378" s="273"/>
      <c r="X378" s="273"/>
      <c r="Y378" s="273"/>
      <c r="Z378" s="273"/>
      <c r="AA378" s="273"/>
      <c r="AB378" s="273"/>
      <c r="AC378" s="273"/>
      <c r="AD378" s="273"/>
      <c r="AE378" s="273"/>
      <c r="AF378" s="273"/>
      <c r="AG378" s="273"/>
      <c r="AH378" s="273"/>
      <c r="AI378" s="273"/>
      <c r="AJ378" s="273"/>
      <c r="AK378" s="273"/>
      <c r="AL378" s="273"/>
      <c r="AM378" s="273"/>
      <c r="AN378" s="273"/>
      <c r="AO378" s="273"/>
      <c r="AP378" s="273"/>
      <c r="AQ378" s="273"/>
      <c r="AR378" s="273"/>
      <c r="AS378" s="273"/>
      <c r="AT378" s="273"/>
      <c r="AU378" s="273"/>
      <c r="AV378" s="273"/>
      <c r="AW378" s="273"/>
      <c r="AX378" s="273"/>
      <c r="AY378" s="335"/>
      <c r="AZ378" s="334"/>
      <c r="BA378" s="273"/>
      <c r="BB378" s="273"/>
      <c r="BC378" s="273"/>
      <c r="BD378" s="273"/>
      <c r="BE378" s="273"/>
      <c r="BF378" s="273"/>
      <c r="BG378" s="273"/>
      <c r="BH378" s="273"/>
      <c r="BI378" s="273"/>
      <c r="BJ378" s="273"/>
      <c r="BK378" s="335"/>
      <c r="BL378" s="1"/>
      <c r="BM378" s="1"/>
      <c r="BN378" s="1"/>
      <c r="BO378" s="1"/>
      <c r="BP378" s="1"/>
      <c r="BQ378" s="1"/>
      <c r="BR378" s="1"/>
      <c r="BS378" s="1"/>
    </row>
    <row r="379" spans="1:71" ht="7.5" customHeight="1" x14ac:dyDescent="0.25">
      <c r="A379" s="1"/>
      <c r="B379" s="334"/>
      <c r="C379" s="273"/>
      <c r="D379" s="273"/>
      <c r="E379" s="273"/>
      <c r="F379" s="273"/>
      <c r="G379" s="273"/>
      <c r="H379" s="273"/>
      <c r="I379" s="273"/>
      <c r="J379" s="273"/>
      <c r="K379" s="273"/>
      <c r="L379" s="273"/>
      <c r="M379" s="273"/>
      <c r="N379" s="273"/>
      <c r="O379" s="273"/>
      <c r="P379" s="273"/>
      <c r="Q379" s="273"/>
      <c r="R379" s="273"/>
      <c r="S379" s="273"/>
      <c r="T379" s="273"/>
      <c r="U379" s="273"/>
      <c r="V379" s="273"/>
      <c r="W379" s="273"/>
      <c r="X379" s="273"/>
      <c r="Y379" s="273"/>
      <c r="Z379" s="273"/>
      <c r="AA379" s="273"/>
      <c r="AB379" s="273"/>
      <c r="AC379" s="273"/>
      <c r="AD379" s="273"/>
      <c r="AE379" s="273"/>
      <c r="AF379" s="273"/>
      <c r="AG379" s="273"/>
      <c r="AH379" s="273"/>
      <c r="AI379" s="273"/>
      <c r="AJ379" s="273"/>
      <c r="AK379" s="273"/>
      <c r="AL379" s="273"/>
      <c r="AM379" s="273"/>
      <c r="AN379" s="273"/>
      <c r="AO379" s="273"/>
      <c r="AP379" s="273"/>
      <c r="AQ379" s="273"/>
      <c r="AR379" s="273"/>
      <c r="AS379" s="273"/>
      <c r="AT379" s="273"/>
      <c r="AU379" s="273"/>
      <c r="AV379" s="273"/>
      <c r="AW379" s="273"/>
      <c r="AX379" s="273"/>
      <c r="AY379" s="335"/>
      <c r="AZ379" s="334"/>
      <c r="BA379" s="273"/>
      <c r="BB379" s="273"/>
      <c r="BC379" s="273"/>
      <c r="BD379" s="273"/>
      <c r="BE379" s="273"/>
      <c r="BF379" s="273"/>
      <c r="BG379" s="273"/>
      <c r="BH379" s="273"/>
      <c r="BI379" s="273"/>
      <c r="BJ379" s="273"/>
      <c r="BK379" s="335"/>
      <c r="BL379" s="1"/>
      <c r="BM379" s="1"/>
      <c r="BN379" s="1"/>
      <c r="BO379" s="1"/>
      <c r="BP379" s="1"/>
      <c r="BQ379" s="1"/>
      <c r="BR379" s="1"/>
      <c r="BS379" s="1"/>
    </row>
    <row r="380" spans="1:71" ht="7.5" customHeight="1" x14ac:dyDescent="0.25">
      <c r="A380" s="1"/>
      <c r="B380" s="334"/>
      <c r="C380" s="273"/>
      <c r="D380" s="273"/>
      <c r="E380" s="273"/>
      <c r="F380" s="273"/>
      <c r="G380" s="273"/>
      <c r="H380" s="273"/>
      <c r="I380" s="273"/>
      <c r="J380" s="273"/>
      <c r="K380" s="273"/>
      <c r="L380" s="273"/>
      <c r="M380" s="273"/>
      <c r="N380" s="273"/>
      <c r="O380" s="273"/>
      <c r="P380" s="273"/>
      <c r="Q380" s="273"/>
      <c r="R380" s="273"/>
      <c r="S380" s="273"/>
      <c r="T380" s="273"/>
      <c r="U380" s="273"/>
      <c r="V380" s="273"/>
      <c r="W380" s="273"/>
      <c r="X380" s="273"/>
      <c r="Y380" s="273"/>
      <c r="Z380" s="273"/>
      <c r="AA380" s="273"/>
      <c r="AB380" s="273"/>
      <c r="AC380" s="273"/>
      <c r="AD380" s="273"/>
      <c r="AE380" s="273"/>
      <c r="AF380" s="273"/>
      <c r="AG380" s="273"/>
      <c r="AH380" s="273"/>
      <c r="AI380" s="273"/>
      <c r="AJ380" s="273"/>
      <c r="AK380" s="273"/>
      <c r="AL380" s="273"/>
      <c r="AM380" s="273"/>
      <c r="AN380" s="273"/>
      <c r="AO380" s="273"/>
      <c r="AP380" s="273"/>
      <c r="AQ380" s="273"/>
      <c r="AR380" s="273"/>
      <c r="AS380" s="273"/>
      <c r="AT380" s="273"/>
      <c r="AU380" s="273"/>
      <c r="AV380" s="273"/>
      <c r="AW380" s="273"/>
      <c r="AX380" s="273"/>
      <c r="AY380" s="335"/>
      <c r="AZ380" s="334"/>
      <c r="BA380" s="273"/>
      <c r="BB380" s="273"/>
      <c r="BC380" s="273"/>
      <c r="BD380" s="273"/>
      <c r="BE380" s="273"/>
      <c r="BF380" s="273"/>
      <c r="BG380" s="273"/>
      <c r="BH380" s="273"/>
      <c r="BI380" s="273"/>
      <c r="BJ380" s="273"/>
      <c r="BK380" s="335"/>
      <c r="BL380" s="1"/>
      <c r="BM380" s="1"/>
      <c r="BN380" s="1"/>
      <c r="BO380" s="1"/>
      <c r="BP380" s="1"/>
      <c r="BQ380" s="1"/>
      <c r="BR380" s="1"/>
      <c r="BS380" s="1"/>
    </row>
    <row r="381" spans="1:71" ht="7.5" customHeight="1" x14ac:dyDescent="0.25">
      <c r="A381" s="1"/>
      <c r="B381" s="334"/>
      <c r="C381" s="273"/>
      <c r="D381" s="273"/>
      <c r="E381" s="273"/>
      <c r="F381" s="273"/>
      <c r="G381" s="273"/>
      <c r="H381" s="273"/>
      <c r="I381" s="273"/>
      <c r="J381" s="273"/>
      <c r="K381" s="273"/>
      <c r="L381" s="273"/>
      <c r="M381" s="273"/>
      <c r="N381" s="273"/>
      <c r="O381" s="273"/>
      <c r="P381" s="273"/>
      <c r="Q381" s="273"/>
      <c r="R381" s="273"/>
      <c r="S381" s="273"/>
      <c r="T381" s="273"/>
      <c r="U381" s="273"/>
      <c r="V381" s="273"/>
      <c r="W381" s="273"/>
      <c r="X381" s="273"/>
      <c r="Y381" s="273"/>
      <c r="Z381" s="273"/>
      <c r="AA381" s="273"/>
      <c r="AB381" s="273"/>
      <c r="AC381" s="273"/>
      <c r="AD381" s="273"/>
      <c r="AE381" s="273"/>
      <c r="AF381" s="273"/>
      <c r="AG381" s="273"/>
      <c r="AH381" s="273"/>
      <c r="AI381" s="273"/>
      <c r="AJ381" s="273"/>
      <c r="AK381" s="273"/>
      <c r="AL381" s="273"/>
      <c r="AM381" s="273"/>
      <c r="AN381" s="273"/>
      <c r="AO381" s="273"/>
      <c r="AP381" s="273"/>
      <c r="AQ381" s="273"/>
      <c r="AR381" s="273"/>
      <c r="AS381" s="273"/>
      <c r="AT381" s="273"/>
      <c r="AU381" s="273"/>
      <c r="AV381" s="273"/>
      <c r="AW381" s="273"/>
      <c r="AX381" s="273"/>
      <c r="AY381" s="335"/>
      <c r="AZ381" s="334"/>
      <c r="BA381" s="273"/>
      <c r="BB381" s="273"/>
      <c r="BC381" s="273"/>
      <c r="BD381" s="273"/>
      <c r="BE381" s="273"/>
      <c r="BF381" s="273"/>
      <c r="BG381" s="273"/>
      <c r="BH381" s="273"/>
      <c r="BI381" s="273"/>
      <c r="BJ381" s="273"/>
      <c r="BK381" s="335"/>
      <c r="BL381" s="1"/>
      <c r="BM381" s="1"/>
      <c r="BN381" s="1"/>
      <c r="BO381" s="1"/>
      <c r="BP381" s="1"/>
      <c r="BQ381" s="1"/>
      <c r="BR381" s="1"/>
      <c r="BS381" s="1"/>
    </row>
    <row r="382" spans="1:71" ht="7.5" customHeight="1" x14ac:dyDescent="0.25">
      <c r="A382" s="1"/>
      <c r="B382" s="334"/>
      <c r="C382" s="273"/>
      <c r="D382" s="273"/>
      <c r="E382" s="273"/>
      <c r="F382" s="273"/>
      <c r="G382" s="273"/>
      <c r="H382" s="273"/>
      <c r="I382" s="273"/>
      <c r="J382" s="273"/>
      <c r="K382" s="273"/>
      <c r="L382" s="273"/>
      <c r="M382" s="273"/>
      <c r="N382" s="273"/>
      <c r="O382" s="273"/>
      <c r="P382" s="273"/>
      <c r="Q382" s="273"/>
      <c r="R382" s="273"/>
      <c r="S382" s="273"/>
      <c r="T382" s="273"/>
      <c r="U382" s="273"/>
      <c r="V382" s="273"/>
      <c r="W382" s="273"/>
      <c r="X382" s="273"/>
      <c r="Y382" s="273"/>
      <c r="Z382" s="273"/>
      <c r="AA382" s="273"/>
      <c r="AB382" s="273"/>
      <c r="AC382" s="273"/>
      <c r="AD382" s="273"/>
      <c r="AE382" s="273"/>
      <c r="AF382" s="273"/>
      <c r="AG382" s="273"/>
      <c r="AH382" s="273"/>
      <c r="AI382" s="273"/>
      <c r="AJ382" s="273"/>
      <c r="AK382" s="273"/>
      <c r="AL382" s="273"/>
      <c r="AM382" s="273"/>
      <c r="AN382" s="273"/>
      <c r="AO382" s="273"/>
      <c r="AP382" s="273"/>
      <c r="AQ382" s="273"/>
      <c r="AR382" s="273"/>
      <c r="AS382" s="273"/>
      <c r="AT382" s="273"/>
      <c r="AU382" s="273"/>
      <c r="AV382" s="273"/>
      <c r="AW382" s="273"/>
      <c r="AX382" s="273"/>
      <c r="AY382" s="335"/>
      <c r="AZ382" s="334"/>
      <c r="BA382" s="273"/>
      <c r="BB382" s="273"/>
      <c r="BC382" s="273"/>
      <c r="BD382" s="273"/>
      <c r="BE382" s="273"/>
      <c r="BF382" s="273"/>
      <c r="BG382" s="273"/>
      <c r="BH382" s="273"/>
      <c r="BI382" s="273"/>
      <c r="BJ382" s="273"/>
      <c r="BK382" s="335"/>
      <c r="BL382" s="1"/>
      <c r="BM382" s="1"/>
      <c r="BN382" s="1"/>
      <c r="BO382" s="1"/>
      <c r="BP382" s="1"/>
      <c r="BQ382" s="1"/>
      <c r="BR382" s="1"/>
      <c r="BS382" s="1"/>
    </row>
    <row r="383" spans="1:71" ht="7.5" customHeight="1" x14ac:dyDescent="0.25">
      <c r="A383" s="1"/>
      <c r="B383" s="334"/>
      <c r="C383" s="273"/>
      <c r="D383" s="273"/>
      <c r="E383" s="273"/>
      <c r="F383" s="273"/>
      <c r="G383" s="273"/>
      <c r="H383" s="273"/>
      <c r="I383" s="273"/>
      <c r="J383" s="273"/>
      <c r="K383" s="273"/>
      <c r="L383" s="273"/>
      <c r="M383" s="273"/>
      <c r="N383" s="273"/>
      <c r="O383" s="273"/>
      <c r="P383" s="273"/>
      <c r="Q383" s="273"/>
      <c r="R383" s="273"/>
      <c r="S383" s="273"/>
      <c r="T383" s="273"/>
      <c r="U383" s="273"/>
      <c r="V383" s="273"/>
      <c r="W383" s="273"/>
      <c r="X383" s="273"/>
      <c r="Y383" s="273"/>
      <c r="Z383" s="273"/>
      <c r="AA383" s="273"/>
      <c r="AB383" s="273"/>
      <c r="AC383" s="273"/>
      <c r="AD383" s="273"/>
      <c r="AE383" s="273"/>
      <c r="AF383" s="273"/>
      <c r="AG383" s="273"/>
      <c r="AH383" s="273"/>
      <c r="AI383" s="273"/>
      <c r="AJ383" s="273"/>
      <c r="AK383" s="273"/>
      <c r="AL383" s="273"/>
      <c r="AM383" s="273"/>
      <c r="AN383" s="273"/>
      <c r="AO383" s="273"/>
      <c r="AP383" s="273"/>
      <c r="AQ383" s="273"/>
      <c r="AR383" s="273"/>
      <c r="AS383" s="273"/>
      <c r="AT383" s="273"/>
      <c r="AU383" s="273"/>
      <c r="AV383" s="273"/>
      <c r="AW383" s="273"/>
      <c r="AX383" s="273"/>
      <c r="AY383" s="335"/>
      <c r="AZ383" s="334"/>
      <c r="BA383" s="273"/>
      <c r="BB383" s="273"/>
      <c r="BC383" s="273"/>
      <c r="BD383" s="273"/>
      <c r="BE383" s="273"/>
      <c r="BF383" s="273"/>
      <c r="BG383" s="273"/>
      <c r="BH383" s="273"/>
      <c r="BI383" s="273"/>
      <c r="BJ383" s="273"/>
      <c r="BK383" s="335"/>
      <c r="BL383" s="1"/>
      <c r="BM383" s="1"/>
      <c r="BN383" s="1"/>
      <c r="BO383" s="1"/>
      <c r="BP383" s="1"/>
      <c r="BQ383" s="1"/>
      <c r="BR383" s="1"/>
      <c r="BS383" s="1"/>
    </row>
    <row r="384" spans="1:71" ht="7.5" customHeight="1" x14ac:dyDescent="0.25">
      <c r="A384" s="1"/>
      <c r="B384" s="334"/>
      <c r="C384" s="273"/>
      <c r="D384" s="273"/>
      <c r="E384" s="273"/>
      <c r="F384" s="273"/>
      <c r="G384" s="273"/>
      <c r="H384" s="273"/>
      <c r="I384" s="273"/>
      <c r="J384" s="273"/>
      <c r="K384" s="273"/>
      <c r="L384" s="273"/>
      <c r="M384" s="273"/>
      <c r="N384" s="273"/>
      <c r="O384" s="273"/>
      <c r="P384" s="273"/>
      <c r="Q384" s="273"/>
      <c r="R384" s="273"/>
      <c r="S384" s="273"/>
      <c r="T384" s="273"/>
      <c r="U384" s="273"/>
      <c r="V384" s="273"/>
      <c r="W384" s="273"/>
      <c r="X384" s="273"/>
      <c r="Y384" s="273"/>
      <c r="Z384" s="273"/>
      <c r="AA384" s="273"/>
      <c r="AB384" s="273"/>
      <c r="AC384" s="273"/>
      <c r="AD384" s="273"/>
      <c r="AE384" s="273"/>
      <c r="AF384" s="273"/>
      <c r="AG384" s="273"/>
      <c r="AH384" s="273"/>
      <c r="AI384" s="273"/>
      <c r="AJ384" s="273"/>
      <c r="AK384" s="273"/>
      <c r="AL384" s="273"/>
      <c r="AM384" s="273"/>
      <c r="AN384" s="273"/>
      <c r="AO384" s="273"/>
      <c r="AP384" s="273"/>
      <c r="AQ384" s="273"/>
      <c r="AR384" s="273"/>
      <c r="AS384" s="273"/>
      <c r="AT384" s="273"/>
      <c r="AU384" s="273"/>
      <c r="AV384" s="273"/>
      <c r="AW384" s="273"/>
      <c r="AX384" s="273"/>
      <c r="AY384" s="335"/>
      <c r="AZ384" s="334"/>
      <c r="BA384" s="273"/>
      <c r="BB384" s="273"/>
      <c r="BC384" s="273"/>
      <c r="BD384" s="273"/>
      <c r="BE384" s="273"/>
      <c r="BF384" s="273"/>
      <c r="BG384" s="273"/>
      <c r="BH384" s="273"/>
      <c r="BI384" s="273"/>
      <c r="BJ384" s="273"/>
      <c r="BK384" s="335"/>
      <c r="BL384" s="1"/>
      <c r="BM384" s="1"/>
      <c r="BN384" s="1"/>
      <c r="BO384" s="1"/>
      <c r="BP384" s="1"/>
      <c r="BQ384" s="1"/>
      <c r="BR384" s="1"/>
      <c r="BS384" s="1"/>
    </row>
    <row r="385" spans="1:71" ht="7.5" customHeight="1" x14ac:dyDescent="0.25">
      <c r="A385" s="1"/>
      <c r="B385" s="336"/>
      <c r="C385" s="274"/>
      <c r="D385" s="274"/>
      <c r="E385" s="274"/>
      <c r="F385" s="274"/>
      <c r="G385" s="274"/>
      <c r="H385" s="274"/>
      <c r="I385" s="274"/>
      <c r="J385" s="274"/>
      <c r="K385" s="274"/>
      <c r="L385" s="274"/>
      <c r="M385" s="274"/>
      <c r="N385" s="274"/>
      <c r="O385" s="274"/>
      <c r="P385" s="274"/>
      <c r="Q385" s="274"/>
      <c r="R385" s="274"/>
      <c r="S385" s="274"/>
      <c r="T385" s="274"/>
      <c r="U385" s="274"/>
      <c r="V385" s="274"/>
      <c r="W385" s="274"/>
      <c r="X385" s="274"/>
      <c r="Y385" s="274"/>
      <c r="Z385" s="274"/>
      <c r="AA385" s="274"/>
      <c r="AB385" s="274"/>
      <c r="AC385" s="274"/>
      <c r="AD385" s="274"/>
      <c r="AE385" s="274"/>
      <c r="AF385" s="274"/>
      <c r="AG385" s="274"/>
      <c r="AH385" s="274"/>
      <c r="AI385" s="274"/>
      <c r="AJ385" s="274"/>
      <c r="AK385" s="274"/>
      <c r="AL385" s="274"/>
      <c r="AM385" s="274"/>
      <c r="AN385" s="274"/>
      <c r="AO385" s="274"/>
      <c r="AP385" s="274"/>
      <c r="AQ385" s="274"/>
      <c r="AR385" s="274"/>
      <c r="AS385" s="274"/>
      <c r="AT385" s="274"/>
      <c r="AU385" s="274"/>
      <c r="AV385" s="274"/>
      <c r="AW385" s="274"/>
      <c r="AX385" s="274"/>
      <c r="AY385" s="337"/>
      <c r="AZ385" s="336"/>
      <c r="BA385" s="274"/>
      <c r="BB385" s="274"/>
      <c r="BC385" s="274"/>
      <c r="BD385" s="274"/>
      <c r="BE385" s="274"/>
      <c r="BF385" s="274"/>
      <c r="BG385" s="274"/>
      <c r="BH385" s="274"/>
      <c r="BI385" s="274"/>
      <c r="BJ385" s="274"/>
      <c r="BK385" s="337"/>
      <c r="BL385" s="1"/>
      <c r="BM385" s="1"/>
      <c r="BN385" s="1"/>
      <c r="BO385" s="1"/>
      <c r="BP385" s="1"/>
      <c r="BQ385" s="1"/>
      <c r="BR385" s="1"/>
      <c r="BS385" s="1"/>
    </row>
    <row r="386" spans="1:71" ht="7.5" customHeight="1" x14ac:dyDescent="0.25">
      <c r="A386" s="1"/>
      <c r="B386" s="332"/>
      <c r="C386" s="275"/>
      <c r="D386" s="275"/>
      <c r="E386" s="275"/>
      <c r="F386" s="275"/>
      <c r="G386" s="275"/>
      <c r="H386" s="275"/>
      <c r="I386" s="275"/>
      <c r="J386" s="275"/>
      <c r="K386" s="275"/>
      <c r="L386" s="275"/>
      <c r="M386" s="275"/>
      <c r="N386" s="275"/>
      <c r="O386" s="275"/>
      <c r="P386" s="275"/>
      <c r="Q386" s="275"/>
      <c r="R386" s="275"/>
      <c r="S386" s="275"/>
      <c r="T386" s="275"/>
      <c r="U386" s="275"/>
      <c r="V386" s="275"/>
      <c r="W386" s="275"/>
      <c r="X386" s="275"/>
      <c r="Y386" s="275"/>
      <c r="Z386" s="275"/>
      <c r="AA386" s="275"/>
      <c r="AB386" s="275"/>
      <c r="AC386" s="275"/>
      <c r="AD386" s="275"/>
      <c r="AE386" s="275"/>
      <c r="AF386" s="275"/>
      <c r="AG386" s="275"/>
      <c r="AH386" s="275"/>
      <c r="AI386" s="275"/>
      <c r="AJ386" s="275"/>
      <c r="AK386" s="275"/>
      <c r="AL386" s="275"/>
      <c r="AM386" s="275"/>
      <c r="AN386" s="275"/>
      <c r="AO386" s="275"/>
      <c r="AP386" s="275"/>
      <c r="AQ386" s="275"/>
      <c r="AR386" s="275"/>
      <c r="AS386" s="275"/>
      <c r="AT386" s="275"/>
      <c r="AU386" s="275"/>
      <c r="AV386" s="275"/>
      <c r="AW386" s="275"/>
      <c r="AX386" s="275"/>
      <c r="AY386" s="333"/>
      <c r="AZ386" s="332"/>
      <c r="BA386" s="275"/>
      <c r="BB386" s="275"/>
      <c r="BC386" s="275"/>
      <c r="BD386" s="275"/>
      <c r="BE386" s="275"/>
      <c r="BF386" s="275"/>
      <c r="BG386" s="275"/>
      <c r="BH386" s="275"/>
      <c r="BI386" s="275"/>
      <c r="BJ386" s="275"/>
      <c r="BK386" s="333"/>
      <c r="BL386" s="1"/>
      <c r="BM386" s="1"/>
      <c r="BN386" s="1"/>
      <c r="BO386" s="1"/>
      <c r="BP386" s="1"/>
      <c r="BQ386" s="1"/>
      <c r="BR386" s="1"/>
      <c r="BS386" s="1"/>
    </row>
    <row r="387" spans="1:71" ht="7.5" customHeight="1" x14ac:dyDescent="0.25">
      <c r="A387" s="1"/>
      <c r="B387" s="334"/>
      <c r="C387" s="273"/>
      <c r="D387" s="273"/>
      <c r="E387" s="273"/>
      <c r="F387" s="273"/>
      <c r="G387" s="273"/>
      <c r="H387" s="273"/>
      <c r="I387" s="273"/>
      <c r="J387" s="273"/>
      <c r="K387" s="273"/>
      <c r="L387" s="273"/>
      <c r="M387" s="273"/>
      <c r="N387" s="273"/>
      <c r="O387" s="273"/>
      <c r="P387" s="273"/>
      <c r="Q387" s="273"/>
      <c r="R387" s="273"/>
      <c r="S387" s="273"/>
      <c r="T387" s="273"/>
      <c r="U387" s="273"/>
      <c r="V387" s="273"/>
      <c r="W387" s="273"/>
      <c r="X387" s="273"/>
      <c r="Y387" s="273"/>
      <c r="Z387" s="273"/>
      <c r="AA387" s="273"/>
      <c r="AB387" s="273"/>
      <c r="AC387" s="273"/>
      <c r="AD387" s="273"/>
      <c r="AE387" s="273"/>
      <c r="AF387" s="273"/>
      <c r="AG387" s="273"/>
      <c r="AH387" s="273"/>
      <c r="AI387" s="273"/>
      <c r="AJ387" s="273"/>
      <c r="AK387" s="273"/>
      <c r="AL387" s="273"/>
      <c r="AM387" s="273"/>
      <c r="AN387" s="273"/>
      <c r="AO387" s="273"/>
      <c r="AP387" s="273"/>
      <c r="AQ387" s="273"/>
      <c r="AR387" s="273"/>
      <c r="AS387" s="273"/>
      <c r="AT387" s="273"/>
      <c r="AU387" s="273"/>
      <c r="AV387" s="273"/>
      <c r="AW387" s="273"/>
      <c r="AX387" s="273"/>
      <c r="AY387" s="335"/>
      <c r="AZ387" s="334"/>
      <c r="BA387" s="273"/>
      <c r="BB387" s="273"/>
      <c r="BC387" s="273"/>
      <c r="BD387" s="273"/>
      <c r="BE387" s="273"/>
      <c r="BF387" s="273"/>
      <c r="BG387" s="273"/>
      <c r="BH387" s="273"/>
      <c r="BI387" s="273"/>
      <c r="BJ387" s="273"/>
      <c r="BK387" s="335"/>
      <c r="BL387" s="1"/>
      <c r="BM387" s="1"/>
      <c r="BN387" s="1"/>
      <c r="BO387" s="1"/>
      <c r="BP387" s="1"/>
      <c r="BQ387" s="1"/>
      <c r="BR387" s="1"/>
      <c r="BS387" s="1"/>
    </row>
    <row r="388" spans="1:71" ht="7.5" customHeight="1" x14ac:dyDescent="0.25">
      <c r="A388" s="1"/>
      <c r="B388" s="334"/>
      <c r="C388" s="273"/>
      <c r="D388" s="273"/>
      <c r="E388" s="273"/>
      <c r="F388" s="273"/>
      <c r="G388" s="273"/>
      <c r="H388" s="273"/>
      <c r="I388" s="273"/>
      <c r="J388" s="273"/>
      <c r="K388" s="273"/>
      <c r="L388" s="273"/>
      <c r="M388" s="273"/>
      <c r="N388" s="273"/>
      <c r="O388" s="273"/>
      <c r="P388" s="273"/>
      <c r="Q388" s="273"/>
      <c r="R388" s="273"/>
      <c r="S388" s="273"/>
      <c r="T388" s="273"/>
      <c r="U388" s="273"/>
      <c r="V388" s="273"/>
      <c r="W388" s="273"/>
      <c r="X388" s="273"/>
      <c r="Y388" s="273"/>
      <c r="Z388" s="273"/>
      <c r="AA388" s="273"/>
      <c r="AB388" s="273"/>
      <c r="AC388" s="273"/>
      <c r="AD388" s="273"/>
      <c r="AE388" s="273"/>
      <c r="AF388" s="273"/>
      <c r="AG388" s="273"/>
      <c r="AH388" s="273"/>
      <c r="AI388" s="273"/>
      <c r="AJ388" s="273"/>
      <c r="AK388" s="273"/>
      <c r="AL388" s="273"/>
      <c r="AM388" s="273"/>
      <c r="AN388" s="273"/>
      <c r="AO388" s="273"/>
      <c r="AP388" s="273"/>
      <c r="AQ388" s="273"/>
      <c r="AR388" s="273"/>
      <c r="AS388" s="273"/>
      <c r="AT388" s="273"/>
      <c r="AU388" s="273"/>
      <c r="AV388" s="273"/>
      <c r="AW388" s="273"/>
      <c r="AX388" s="273"/>
      <c r="AY388" s="335"/>
      <c r="AZ388" s="334"/>
      <c r="BA388" s="273"/>
      <c r="BB388" s="273"/>
      <c r="BC388" s="273"/>
      <c r="BD388" s="273"/>
      <c r="BE388" s="273"/>
      <c r="BF388" s="273"/>
      <c r="BG388" s="273"/>
      <c r="BH388" s="273"/>
      <c r="BI388" s="273"/>
      <c r="BJ388" s="273"/>
      <c r="BK388" s="335"/>
      <c r="BL388" s="1"/>
      <c r="BM388" s="1"/>
      <c r="BN388" s="1"/>
      <c r="BO388" s="1"/>
      <c r="BP388" s="1"/>
      <c r="BQ388" s="1"/>
      <c r="BR388" s="1"/>
      <c r="BS388" s="1"/>
    </row>
    <row r="389" spans="1:71" ht="7.5" customHeight="1" x14ac:dyDescent="0.25">
      <c r="A389" s="1"/>
      <c r="B389" s="334"/>
      <c r="C389" s="273"/>
      <c r="D389" s="273"/>
      <c r="E389" s="273"/>
      <c r="F389" s="273"/>
      <c r="G389" s="273"/>
      <c r="H389" s="273"/>
      <c r="I389" s="273"/>
      <c r="J389" s="273"/>
      <c r="K389" s="273"/>
      <c r="L389" s="273"/>
      <c r="M389" s="273"/>
      <c r="N389" s="273"/>
      <c r="O389" s="273"/>
      <c r="P389" s="273"/>
      <c r="Q389" s="273"/>
      <c r="R389" s="273"/>
      <c r="S389" s="273"/>
      <c r="T389" s="273"/>
      <c r="U389" s="273"/>
      <c r="V389" s="273"/>
      <c r="W389" s="273"/>
      <c r="X389" s="273"/>
      <c r="Y389" s="273"/>
      <c r="Z389" s="273"/>
      <c r="AA389" s="273"/>
      <c r="AB389" s="273"/>
      <c r="AC389" s="273"/>
      <c r="AD389" s="273"/>
      <c r="AE389" s="273"/>
      <c r="AF389" s="273"/>
      <c r="AG389" s="273"/>
      <c r="AH389" s="273"/>
      <c r="AI389" s="273"/>
      <c r="AJ389" s="273"/>
      <c r="AK389" s="273"/>
      <c r="AL389" s="273"/>
      <c r="AM389" s="273"/>
      <c r="AN389" s="273"/>
      <c r="AO389" s="273"/>
      <c r="AP389" s="273"/>
      <c r="AQ389" s="273"/>
      <c r="AR389" s="273"/>
      <c r="AS389" s="273"/>
      <c r="AT389" s="273"/>
      <c r="AU389" s="273"/>
      <c r="AV389" s="273"/>
      <c r="AW389" s="273"/>
      <c r="AX389" s="273"/>
      <c r="AY389" s="335"/>
      <c r="AZ389" s="334"/>
      <c r="BA389" s="273"/>
      <c r="BB389" s="273"/>
      <c r="BC389" s="273"/>
      <c r="BD389" s="273"/>
      <c r="BE389" s="273"/>
      <c r="BF389" s="273"/>
      <c r="BG389" s="273"/>
      <c r="BH389" s="273"/>
      <c r="BI389" s="273"/>
      <c r="BJ389" s="273"/>
      <c r="BK389" s="335"/>
      <c r="BL389" s="1"/>
      <c r="BM389" s="1"/>
      <c r="BN389" s="1"/>
      <c r="BO389" s="1"/>
      <c r="BP389" s="1"/>
      <c r="BQ389" s="1"/>
      <c r="BR389" s="1"/>
      <c r="BS389" s="1"/>
    </row>
    <row r="390" spans="1:71" ht="7.5" customHeight="1" x14ac:dyDescent="0.25">
      <c r="A390" s="1"/>
      <c r="B390" s="334"/>
      <c r="C390" s="273"/>
      <c r="D390" s="273"/>
      <c r="E390" s="273"/>
      <c r="F390" s="273"/>
      <c r="G390" s="273"/>
      <c r="H390" s="273"/>
      <c r="I390" s="273"/>
      <c r="J390" s="273"/>
      <c r="K390" s="273"/>
      <c r="L390" s="273"/>
      <c r="M390" s="273"/>
      <c r="N390" s="273"/>
      <c r="O390" s="273"/>
      <c r="P390" s="273"/>
      <c r="Q390" s="273"/>
      <c r="R390" s="273"/>
      <c r="S390" s="273"/>
      <c r="T390" s="273"/>
      <c r="U390" s="273"/>
      <c r="V390" s="273"/>
      <c r="W390" s="273"/>
      <c r="X390" s="273"/>
      <c r="Y390" s="273"/>
      <c r="Z390" s="273"/>
      <c r="AA390" s="273"/>
      <c r="AB390" s="273"/>
      <c r="AC390" s="273"/>
      <c r="AD390" s="273"/>
      <c r="AE390" s="273"/>
      <c r="AF390" s="273"/>
      <c r="AG390" s="273"/>
      <c r="AH390" s="273"/>
      <c r="AI390" s="273"/>
      <c r="AJ390" s="273"/>
      <c r="AK390" s="273"/>
      <c r="AL390" s="273"/>
      <c r="AM390" s="273"/>
      <c r="AN390" s="273"/>
      <c r="AO390" s="273"/>
      <c r="AP390" s="273"/>
      <c r="AQ390" s="273"/>
      <c r="AR390" s="273"/>
      <c r="AS390" s="273"/>
      <c r="AT390" s="273"/>
      <c r="AU390" s="273"/>
      <c r="AV390" s="273"/>
      <c r="AW390" s="273"/>
      <c r="AX390" s="273"/>
      <c r="AY390" s="335"/>
      <c r="AZ390" s="334"/>
      <c r="BA390" s="273"/>
      <c r="BB390" s="273"/>
      <c r="BC390" s="273"/>
      <c r="BD390" s="273"/>
      <c r="BE390" s="273"/>
      <c r="BF390" s="273"/>
      <c r="BG390" s="273"/>
      <c r="BH390" s="273"/>
      <c r="BI390" s="273"/>
      <c r="BJ390" s="273"/>
      <c r="BK390" s="335"/>
      <c r="BL390" s="1"/>
      <c r="BM390" s="1"/>
      <c r="BN390" s="1"/>
      <c r="BO390" s="1"/>
      <c r="BP390" s="1"/>
      <c r="BQ390" s="1"/>
      <c r="BR390" s="1"/>
      <c r="BS390" s="1"/>
    </row>
    <row r="391" spans="1:71" ht="7.5" customHeight="1" x14ac:dyDescent="0.25">
      <c r="A391" s="1"/>
      <c r="B391" s="334"/>
      <c r="C391" s="273"/>
      <c r="D391" s="273"/>
      <c r="E391" s="273"/>
      <c r="F391" s="273"/>
      <c r="G391" s="273"/>
      <c r="H391" s="273"/>
      <c r="I391" s="273"/>
      <c r="J391" s="273"/>
      <c r="K391" s="273"/>
      <c r="L391" s="273"/>
      <c r="M391" s="273"/>
      <c r="N391" s="273"/>
      <c r="O391" s="273"/>
      <c r="P391" s="273"/>
      <c r="Q391" s="273"/>
      <c r="R391" s="273"/>
      <c r="S391" s="273"/>
      <c r="T391" s="273"/>
      <c r="U391" s="273"/>
      <c r="V391" s="273"/>
      <c r="W391" s="273"/>
      <c r="X391" s="273"/>
      <c r="Y391" s="273"/>
      <c r="Z391" s="273"/>
      <c r="AA391" s="273"/>
      <c r="AB391" s="273"/>
      <c r="AC391" s="273"/>
      <c r="AD391" s="273"/>
      <c r="AE391" s="273"/>
      <c r="AF391" s="273"/>
      <c r="AG391" s="273"/>
      <c r="AH391" s="273"/>
      <c r="AI391" s="273"/>
      <c r="AJ391" s="273"/>
      <c r="AK391" s="273"/>
      <c r="AL391" s="273"/>
      <c r="AM391" s="273"/>
      <c r="AN391" s="273"/>
      <c r="AO391" s="273"/>
      <c r="AP391" s="273"/>
      <c r="AQ391" s="273"/>
      <c r="AR391" s="273"/>
      <c r="AS391" s="273"/>
      <c r="AT391" s="273"/>
      <c r="AU391" s="273"/>
      <c r="AV391" s="273"/>
      <c r="AW391" s="273"/>
      <c r="AX391" s="273"/>
      <c r="AY391" s="335"/>
      <c r="AZ391" s="334"/>
      <c r="BA391" s="273"/>
      <c r="BB391" s="273"/>
      <c r="BC391" s="273"/>
      <c r="BD391" s="273"/>
      <c r="BE391" s="273"/>
      <c r="BF391" s="273"/>
      <c r="BG391" s="273"/>
      <c r="BH391" s="273"/>
      <c r="BI391" s="273"/>
      <c r="BJ391" s="273"/>
      <c r="BK391" s="335"/>
      <c r="BL391" s="1"/>
      <c r="BM391" s="1"/>
      <c r="BN391" s="1"/>
      <c r="BO391" s="1"/>
      <c r="BP391" s="1"/>
      <c r="BQ391" s="1"/>
      <c r="BR391" s="1"/>
      <c r="BS391" s="1"/>
    </row>
    <row r="392" spans="1:71" ht="7.5" customHeight="1" x14ac:dyDescent="0.25">
      <c r="A392" s="1"/>
      <c r="B392" s="334"/>
      <c r="C392" s="273"/>
      <c r="D392" s="273"/>
      <c r="E392" s="273"/>
      <c r="F392" s="273"/>
      <c r="G392" s="273"/>
      <c r="H392" s="273"/>
      <c r="I392" s="273"/>
      <c r="J392" s="273"/>
      <c r="K392" s="273"/>
      <c r="L392" s="273"/>
      <c r="M392" s="273"/>
      <c r="N392" s="273"/>
      <c r="O392" s="273"/>
      <c r="P392" s="273"/>
      <c r="Q392" s="273"/>
      <c r="R392" s="273"/>
      <c r="S392" s="273"/>
      <c r="T392" s="273"/>
      <c r="U392" s="273"/>
      <c r="V392" s="273"/>
      <c r="W392" s="273"/>
      <c r="X392" s="273"/>
      <c r="Y392" s="273"/>
      <c r="Z392" s="273"/>
      <c r="AA392" s="273"/>
      <c r="AB392" s="273"/>
      <c r="AC392" s="273"/>
      <c r="AD392" s="273"/>
      <c r="AE392" s="273"/>
      <c r="AF392" s="273"/>
      <c r="AG392" s="273"/>
      <c r="AH392" s="273"/>
      <c r="AI392" s="273"/>
      <c r="AJ392" s="273"/>
      <c r="AK392" s="273"/>
      <c r="AL392" s="273"/>
      <c r="AM392" s="273"/>
      <c r="AN392" s="273"/>
      <c r="AO392" s="273"/>
      <c r="AP392" s="273"/>
      <c r="AQ392" s="273"/>
      <c r="AR392" s="273"/>
      <c r="AS392" s="273"/>
      <c r="AT392" s="273"/>
      <c r="AU392" s="273"/>
      <c r="AV392" s="273"/>
      <c r="AW392" s="273"/>
      <c r="AX392" s="273"/>
      <c r="AY392" s="335"/>
      <c r="AZ392" s="334"/>
      <c r="BA392" s="273"/>
      <c r="BB392" s="273"/>
      <c r="BC392" s="273"/>
      <c r="BD392" s="273"/>
      <c r="BE392" s="273"/>
      <c r="BF392" s="273"/>
      <c r="BG392" s="273"/>
      <c r="BH392" s="273"/>
      <c r="BI392" s="273"/>
      <c r="BJ392" s="273"/>
      <c r="BK392" s="335"/>
      <c r="BL392" s="1"/>
      <c r="BM392" s="1"/>
      <c r="BN392" s="1"/>
      <c r="BO392" s="1"/>
      <c r="BP392" s="1"/>
      <c r="BQ392" s="1"/>
      <c r="BR392" s="1"/>
      <c r="BS392" s="1"/>
    </row>
    <row r="393" spans="1:71" ht="7.5" customHeight="1" x14ac:dyDescent="0.25">
      <c r="A393" s="1"/>
      <c r="B393" s="334"/>
      <c r="C393" s="273"/>
      <c r="D393" s="273"/>
      <c r="E393" s="273"/>
      <c r="F393" s="273"/>
      <c r="G393" s="273"/>
      <c r="H393" s="273"/>
      <c r="I393" s="273"/>
      <c r="J393" s="273"/>
      <c r="K393" s="273"/>
      <c r="L393" s="273"/>
      <c r="M393" s="273"/>
      <c r="N393" s="273"/>
      <c r="O393" s="273"/>
      <c r="P393" s="273"/>
      <c r="Q393" s="273"/>
      <c r="R393" s="273"/>
      <c r="S393" s="273"/>
      <c r="T393" s="273"/>
      <c r="U393" s="273"/>
      <c r="V393" s="273"/>
      <c r="W393" s="273"/>
      <c r="X393" s="273"/>
      <c r="Y393" s="273"/>
      <c r="Z393" s="273"/>
      <c r="AA393" s="273"/>
      <c r="AB393" s="273"/>
      <c r="AC393" s="273"/>
      <c r="AD393" s="273"/>
      <c r="AE393" s="273"/>
      <c r="AF393" s="273"/>
      <c r="AG393" s="273"/>
      <c r="AH393" s="273"/>
      <c r="AI393" s="273"/>
      <c r="AJ393" s="273"/>
      <c r="AK393" s="273"/>
      <c r="AL393" s="273"/>
      <c r="AM393" s="273"/>
      <c r="AN393" s="273"/>
      <c r="AO393" s="273"/>
      <c r="AP393" s="273"/>
      <c r="AQ393" s="273"/>
      <c r="AR393" s="273"/>
      <c r="AS393" s="273"/>
      <c r="AT393" s="273"/>
      <c r="AU393" s="273"/>
      <c r="AV393" s="273"/>
      <c r="AW393" s="273"/>
      <c r="AX393" s="273"/>
      <c r="AY393" s="335"/>
      <c r="AZ393" s="334"/>
      <c r="BA393" s="273"/>
      <c r="BB393" s="273"/>
      <c r="BC393" s="273"/>
      <c r="BD393" s="273"/>
      <c r="BE393" s="273"/>
      <c r="BF393" s="273"/>
      <c r="BG393" s="273"/>
      <c r="BH393" s="273"/>
      <c r="BI393" s="273"/>
      <c r="BJ393" s="273"/>
      <c r="BK393" s="335"/>
      <c r="BL393" s="1"/>
      <c r="BM393" s="1"/>
      <c r="BN393" s="1"/>
      <c r="BO393" s="1"/>
      <c r="BP393" s="1"/>
      <c r="BQ393" s="1"/>
      <c r="BR393" s="1"/>
      <c r="BS393" s="1"/>
    </row>
    <row r="394" spans="1:71" ht="7.5" customHeight="1" x14ac:dyDescent="0.25">
      <c r="A394" s="1"/>
      <c r="B394" s="334"/>
      <c r="C394" s="273"/>
      <c r="D394" s="273"/>
      <c r="E394" s="273"/>
      <c r="F394" s="273"/>
      <c r="G394" s="273"/>
      <c r="H394" s="273"/>
      <c r="I394" s="273"/>
      <c r="J394" s="273"/>
      <c r="K394" s="273"/>
      <c r="L394" s="273"/>
      <c r="M394" s="273"/>
      <c r="N394" s="273"/>
      <c r="O394" s="273"/>
      <c r="P394" s="273"/>
      <c r="Q394" s="273"/>
      <c r="R394" s="273"/>
      <c r="S394" s="273"/>
      <c r="T394" s="273"/>
      <c r="U394" s="273"/>
      <c r="V394" s="273"/>
      <c r="W394" s="273"/>
      <c r="X394" s="273"/>
      <c r="Y394" s="273"/>
      <c r="Z394" s="273"/>
      <c r="AA394" s="273"/>
      <c r="AB394" s="273"/>
      <c r="AC394" s="273"/>
      <c r="AD394" s="273"/>
      <c r="AE394" s="273"/>
      <c r="AF394" s="273"/>
      <c r="AG394" s="273"/>
      <c r="AH394" s="273"/>
      <c r="AI394" s="273"/>
      <c r="AJ394" s="273"/>
      <c r="AK394" s="273"/>
      <c r="AL394" s="273"/>
      <c r="AM394" s="273"/>
      <c r="AN394" s="273"/>
      <c r="AO394" s="273"/>
      <c r="AP394" s="273"/>
      <c r="AQ394" s="273"/>
      <c r="AR394" s="273"/>
      <c r="AS394" s="273"/>
      <c r="AT394" s="273"/>
      <c r="AU394" s="273"/>
      <c r="AV394" s="273"/>
      <c r="AW394" s="273"/>
      <c r="AX394" s="273"/>
      <c r="AY394" s="335"/>
      <c r="AZ394" s="334"/>
      <c r="BA394" s="273"/>
      <c r="BB394" s="273"/>
      <c r="BC394" s="273"/>
      <c r="BD394" s="273"/>
      <c r="BE394" s="273"/>
      <c r="BF394" s="273"/>
      <c r="BG394" s="273"/>
      <c r="BH394" s="273"/>
      <c r="BI394" s="273"/>
      <c r="BJ394" s="273"/>
      <c r="BK394" s="335"/>
      <c r="BL394" s="1"/>
      <c r="BM394" s="1"/>
      <c r="BN394" s="1"/>
      <c r="BO394" s="1"/>
      <c r="BP394" s="1"/>
      <c r="BQ394" s="1"/>
      <c r="BR394" s="1"/>
      <c r="BS394" s="1"/>
    </row>
    <row r="395" spans="1:71" ht="7.5" customHeight="1" x14ac:dyDescent="0.25">
      <c r="A395" s="1"/>
      <c r="B395" s="336"/>
      <c r="C395" s="274"/>
      <c r="D395" s="274"/>
      <c r="E395" s="274"/>
      <c r="F395" s="274"/>
      <c r="G395" s="274"/>
      <c r="H395" s="274"/>
      <c r="I395" s="274"/>
      <c r="J395" s="274"/>
      <c r="K395" s="274"/>
      <c r="L395" s="274"/>
      <c r="M395" s="274"/>
      <c r="N395" s="274"/>
      <c r="O395" s="274"/>
      <c r="P395" s="274"/>
      <c r="Q395" s="274"/>
      <c r="R395" s="274"/>
      <c r="S395" s="274"/>
      <c r="T395" s="274"/>
      <c r="U395" s="274"/>
      <c r="V395" s="274"/>
      <c r="W395" s="274"/>
      <c r="X395" s="274"/>
      <c r="Y395" s="274"/>
      <c r="Z395" s="274"/>
      <c r="AA395" s="274"/>
      <c r="AB395" s="274"/>
      <c r="AC395" s="274"/>
      <c r="AD395" s="274"/>
      <c r="AE395" s="274"/>
      <c r="AF395" s="274"/>
      <c r="AG395" s="274"/>
      <c r="AH395" s="274"/>
      <c r="AI395" s="274"/>
      <c r="AJ395" s="274"/>
      <c r="AK395" s="274"/>
      <c r="AL395" s="274"/>
      <c r="AM395" s="274"/>
      <c r="AN395" s="274"/>
      <c r="AO395" s="274"/>
      <c r="AP395" s="274"/>
      <c r="AQ395" s="274"/>
      <c r="AR395" s="274"/>
      <c r="AS395" s="274"/>
      <c r="AT395" s="274"/>
      <c r="AU395" s="274"/>
      <c r="AV395" s="274"/>
      <c r="AW395" s="274"/>
      <c r="AX395" s="274"/>
      <c r="AY395" s="337"/>
      <c r="AZ395" s="336"/>
      <c r="BA395" s="274"/>
      <c r="BB395" s="274"/>
      <c r="BC395" s="274"/>
      <c r="BD395" s="274"/>
      <c r="BE395" s="274"/>
      <c r="BF395" s="274"/>
      <c r="BG395" s="274"/>
      <c r="BH395" s="274"/>
      <c r="BI395" s="274"/>
      <c r="BJ395" s="274"/>
      <c r="BK395" s="337"/>
      <c r="BL395" s="1"/>
      <c r="BM395" s="1"/>
      <c r="BN395" s="1"/>
      <c r="BO395" s="1"/>
      <c r="BP395" s="1"/>
      <c r="BQ395" s="1"/>
      <c r="BR395" s="1"/>
      <c r="BS395" s="1"/>
    </row>
    <row r="396" spans="1:71" ht="7.5" customHeight="1" x14ac:dyDescent="0.25">
      <c r="A396" s="1"/>
      <c r="B396" s="332"/>
      <c r="C396" s="275"/>
      <c r="D396" s="275"/>
      <c r="E396" s="275"/>
      <c r="F396" s="275"/>
      <c r="G396" s="275"/>
      <c r="H396" s="275"/>
      <c r="I396" s="275"/>
      <c r="J396" s="275"/>
      <c r="K396" s="275"/>
      <c r="L396" s="275"/>
      <c r="M396" s="275"/>
      <c r="N396" s="275"/>
      <c r="O396" s="275"/>
      <c r="P396" s="275"/>
      <c r="Q396" s="275"/>
      <c r="R396" s="275"/>
      <c r="S396" s="275"/>
      <c r="T396" s="275"/>
      <c r="U396" s="275"/>
      <c r="V396" s="275"/>
      <c r="W396" s="275"/>
      <c r="X396" s="275"/>
      <c r="Y396" s="275"/>
      <c r="Z396" s="275"/>
      <c r="AA396" s="275"/>
      <c r="AB396" s="275"/>
      <c r="AC396" s="275"/>
      <c r="AD396" s="275"/>
      <c r="AE396" s="275"/>
      <c r="AF396" s="275"/>
      <c r="AG396" s="275"/>
      <c r="AH396" s="275"/>
      <c r="AI396" s="275"/>
      <c r="AJ396" s="275"/>
      <c r="AK396" s="275"/>
      <c r="AL396" s="275"/>
      <c r="AM396" s="275"/>
      <c r="AN396" s="275"/>
      <c r="AO396" s="275"/>
      <c r="AP396" s="275"/>
      <c r="AQ396" s="275"/>
      <c r="AR396" s="275"/>
      <c r="AS396" s="275"/>
      <c r="AT396" s="275"/>
      <c r="AU396" s="275"/>
      <c r="AV396" s="275"/>
      <c r="AW396" s="275"/>
      <c r="AX396" s="275"/>
      <c r="AY396" s="333"/>
      <c r="AZ396" s="332"/>
      <c r="BA396" s="275"/>
      <c r="BB396" s="275"/>
      <c r="BC396" s="275"/>
      <c r="BD396" s="275"/>
      <c r="BE396" s="275"/>
      <c r="BF396" s="275"/>
      <c r="BG396" s="275"/>
      <c r="BH396" s="275"/>
      <c r="BI396" s="275"/>
      <c r="BJ396" s="275"/>
      <c r="BK396" s="333"/>
      <c r="BL396" s="1"/>
      <c r="BM396" s="1"/>
      <c r="BN396" s="1"/>
      <c r="BO396" s="1"/>
      <c r="BP396" s="1"/>
      <c r="BQ396" s="1"/>
      <c r="BR396" s="1"/>
      <c r="BS396" s="1"/>
    </row>
    <row r="397" spans="1:71" ht="7.5" customHeight="1" x14ac:dyDescent="0.25">
      <c r="A397" s="1"/>
      <c r="B397" s="334"/>
      <c r="C397" s="273"/>
      <c r="D397" s="273"/>
      <c r="E397" s="273"/>
      <c r="F397" s="273"/>
      <c r="G397" s="273"/>
      <c r="H397" s="273"/>
      <c r="I397" s="273"/>
      <c r="J397" s="273"/>
      <c r="K397" s="273"/>
      <c r="L397" s="273"/>
      <c r="M397" s="273"/>
      <c r="N397" s="273"/>
      <c r="O397" s="273"/>
      <c r="P397" s="273"/>
      <c r="Q397" s="273"/>
      <c r="R397" s="273"/>
      <c r="S397" s="273"/>
      <c r="T397" s="273"/>
      <c r="U397" s="273"/>
      <c r="V397" s="273"/>
      <c r="W397" s="273"/>
      <c r="X397" s="273"/>
      <c r="Y397" s="273"/>
      <c r="Z397" s="273"/>
      <c r="AA397" s="273"/>
      <c r="AB397" s="273"/>
      <c r="AC397" s="273"/>
      <c r="AD397" s="273"/>
      <c r="AE397" s="273"/>
      <c r="AF397" s="273"/>
      <c r="AG397" s="273"/>
      <c r="AH397" s="273"/>
      <c r="AI397" s="273"/>
      <c r="AJ397" s="273"/>
      <c r="AK397" s="273"/>
      <c r="AL397" s="273"/>
      <c r="AM397" s="273"/>
      <c r="AN397" s="273"/>
      <c r="AO397" s="273"/>
      <c r="AP397" s="273"/>
      <c r="AQ397" s="273"/>
      <c r="AR397" s="273"/>
      <c r="AS397" s="273"/>
      <c r="AT397" s="273"/>
      <c r="AU397" s="273"/>
      <c r="AV397" s="273"/>
      <c r="AW397" s="273"/>
      <c r="AX397" s="273"/>
      <c r="AY397" s="335"/>
      <c r="AZ397" s="334"/>
      <c r="BA397" s="273"/>
      <c r="BB397" s="273"/>
      <c r="BC397" s="273"/>
      <c r="BD397" s="273"/>
      <c r="BE397" s="273"/>
      <c r="BF397" s="273"/>
      <c r="BG397" s="273"/>
      <c r="BH397" s="273"/>
      <c r="BI397" s="273"/>
      <c r="BJ397" s="273"/>
      <c r="BK397" s="335"/>
      <c r="BL397" s="1"/>
      <c r="BM397" s="1"/>
      <c r="BN397" s="1"/>
      <c r="BO397" s="1"/>
      <c r="BP397" s="1"/>
      <c r="BQ397" s="1"/>
      <c r="BR397" s="1"/>
      <c r="BS397" s="1"/>
    </row>
    <row r="398" spans="1:71" ht="7.5" customHeight="1" x14ac:dyDescent="0.25">
      <c r="A398" s="1"/>
      <c r="B398" s="334"/>
      <c r="C398" s="273"/>
      <c r="D398" s="273"/>
      <c r="E398" s="273"/>
      <c r="F398" s="273"/>
      <c r="G398" s="273"/>
      <c r="H398" s="273"/>
      <c r="I398" s="273"/>
      <c r="J398" s="273"/>
      <c r="K398" s="273"/>
      <c r="L398" s="273"/>
      <c r="M398" s="273"/>
      <c r="N398" s="273"/>
      <c r="O398" s="273"/>
      <c r="P398" s="273"/>
      <c r="Q398" s="273"/>
      <c r="R398" s="273"/>
      <c r="S398" s="273"/>
      <c r="T398" s="273"/>
      <c r="U398" s="273"/>
      <c r="V398" s="273"/>
      <c r="W398" s="273"/>
      <c r="X398" s="273"/>
      <c r="Y398" s="273"/>
      <c r="Z398" s="273"/>
      <c r="AA398" s="273"/>
      <c r="AB398" s="273"/>
      <c r="AC398" s="273"/>
      <c r="AD398" s="273"/>
      <c r="AE398" s="273"/>
      <c r="AF398" s="273"/>
      <c r="AG398" s="273"/>
      <c r="AH398" s="273"/>
      <c r="AI398" s="273"/>
      <c r="AJ398" s="273"/>
      <c r="AK398" s="273"/>
      <c r="AL398" s="273"/>
      <c r="AM398" s="273"/>
      <c r="AN398" s="273"/>
      <c r="AO398" s="273"/>
      <c r="AP398" s="273"/>
      <c r="AQ398" s="273"/>
      <c r="AR398" s="273"/>
      <c r="AS398" s="273"/>
      <c r="AT398" s="273"/>
      <c r="AU398" s="273"/>
      <c r="AV398" s="273"/>
      <c r="AW398" s="273"/>
      <c r="AX398" s="273"/>
      <c r="AY398" s="335"/>
      <c r="AZ398" s="334"/>
      <c r="BA398" s="273"/>
      <c r="BB398" s="273"/>
      <c r="BC398" s="273"/>
      <c r="BD398" s="273"/>
      <c r="BE398" s="273"/>
      <c r="BF398" s="273"/>
      <c r="BG398" s="273"/>
      <c r="BH398" s="273"/>
      <c r="BI398" s="273"/>
      <c r="BJ398" s="273"/>
      <c r="BK398" s="335"/>
      <c r="BL398" s="1"/>
      <c r="BM398" s="1"/>
      <c r="BN398" s="1"/>
      <c r="BO398" s="1"/>
      <c r="BP398" s="1"/>
      <c r="BQ398" s="1"/>
      <c r="BR398" s="1"/>
      <c r="BS398" s="1"/>
    </row>
    <row r="399" spans="1:71" ht="7.5" customHeight="1" x14ac:dyDescent="0.25">
      <c r="A399" s="1"/>
      <c r="B399" s="334"/>
      <c r="C399" s="273"/>
      <c r="D399" s="273"/>
      <c r="E399" s="273"/>
      <c r="F399" s="273"/>
      <c r="G399" s="273"/>
      <c r="H399" s="273"/>
      <c r="I399" s="273"/>
      <c r="J399" s="273"/>
      <c r="K399" s="273"/>
      <c r="L399" s="273"/>
      <c r="M399" s="273"/>
      <c r="N399" s="273"/>
      <c r="O399" s="273"/>
      <c r="P399" s="273"/>
      <c r="Q399" s="273"/>
      <c r="R399" s="273"/>
      <c r="S399" s="273"/>
      <c r="T399" s="273"/>
      <c r="U399" s="273"/>
      <c r="V399" s="273"/>
      <c r="W399" s="273"/>
      <c r="X399" s="273"/>
      <c r="Y399" s="273"/>
      <c r="Z399" s="273"/>
      <c r="AA399" s="273"/>
      <c r="AB399" s="273"/>
      <c r="AC399" s="273"/>
      <c r="AD399" s="273"/>
      <c r="AE399" s="273"/>
      <c r="AF399" s="273"/>
      <c r="AG399" s="273"/>
      <c r="AH399" s="273"/>
      <c r="AI399" s="273"/>
      <c r="AJ399" s="273"/>
      <c r="AK399" s="273"/>
      <c r="AL399" s="273"/>
      <c r="AM399" s="273"/>
      <c r="AN399" s="273"/>
      <c r="AO399" s="273"/>
      <c r="AP399" s="273"/>
      <c r="AQ399" s="273"/>
      <c r="AR399" s="273"/>
      <c r="AS399" s="273"/>
      <c r="AT399" s="273"/>
      <c r="AU399" s="273"/>
      <c r="AV399" s="273"/>
      <c r="AW399" s="273"/>
      <c r="AX399" s="273"/>
      <c r="AY399" s="335"/>
      <c r="AZ399" s="334"/>
      <c r="BA399" s="273"/>
      <c r="BB399" s="273"/>
      <c r="BC399" s="273"/>
      <c r="BD399" s="273"/>
      <c r="BE399" s="273"/>
      <c r="BF399" s="273"/>
      <c r="BG399" s="273"/>
      <c r="BH399" s="273"/>
      <c r="BI399" s="273"/>
      <c r="BJ399" s="273"/>
      <c r="BK399" s="335"/>
      <c r="BL399" s="1"/>
      <c r="BM399" s="1"/>
      <c r="BN399" s="1"/>
      <c r="BO399" s="1"/>
      <c r="BP399" s="1"/>
      <c r="BQ399" s="1"/>
      <c r="BR399" s="1"/>
      <c r="BS399" s="1"/>
    </row>
    <row r="400" spans="1:71" ht="7.5" customHeight="1" x14ac:dyDescent="0.25">
      <c r="A400" s="1"/>
      <c r="B400" s="334"/>
      <c r="C400" s="273"/>
      <c r="D400" s="273"/>
      <c r="E400" s="273"/>
      <c r="F400" s="273"/>
      <c r="G400" s="273"/>
      <c r="H400" s="273"/>
      <c r="I400" s="273"/>
      <c r="J400" s="273"/>
      <c r="K400" s="273"/>
      <c r="L400" s="273"/>
      <c r="M400" s="273"/>
      <c r="N400" s="273"/>
      <c r="O400" s="273"/>
      <c r="P400" s="273"/>
      <c r="Q400" s="273"/>
      <c r="R400" s="273"/>
      <c r="S400" s="273"/>
      <c r="T400" s="273"/>
      <c r="U400" s="273"/>
      <c r="V400" s="273"/>
      <c r="W400" s="273"/>
      <c r="X400" s="273"/>
      <c r="Y400" s="273"/>
      <c r="Z400" s="273"/>
      <c r="AA400" s="273"/>
      <c r="AB400" s="273"/>
      <c r="AC400" s="273"/>
      <c r="AD400" s="273"/>
      <c r="AE400" s="273"/>
      <c r="AF400" s="273"/>
      <c r="AG400" s="273"/>
      <c r="AH400" s="273"/>
      <c r="AI400" s="273"/>
      <c r="AJ400" s="273"/>
      <c r="AK400" s="273"/>
      <c r="AL400" s="273"/>
      <c r="AM400" s="273"/>
      <c r="AN400" s="273"/>
      <c r="AO400" s="273"/>
      <c r="AP400" s="273"/>
      <c r="AQ400" s="273"/>
      <c r="AR400" s="273"/>
      <c r="AS400" s="273"/>
      <c r="AT400" s="273"/>
      <c r="AU400" s="273"/>
      <c r="AV400" s="273"/>
      <c r="AW400" s="273"/>
      <c r="AX400" s="273"/>
      <c r="AY400" s="335"/>
      <c r="AZ400" s="334"/>
      <c r="BA400" s="273"/>
      <c r="BB400" s="273"/>
      <c r="BC400" s="273"/>
      <c r="BD400" s="273"/>
      <c r="BE400" s="273"/>
      <c r="BF400" s="273"/>
      <c r="BG400" s="273"/>
      <c r="BH400" s="273"/>
      <c r="BI400" s="273"/>
      <c r="BJ400" s="273"/>
      <c r="BK400" s="335"/>
      <c r="BL400" s="1"/>
      <c r="BM400" s="1"/>
      <c r="BN400" s="1"/>
      <c r="BO400" s="1"/>
      <c r="BP400" s="1"/>
      <c r="BQ400" s="1"/>
      <c r="BR400" s="1"/>
      <c r="BS400" s="1"/>
    </row>
    <row r="401" spans="1:71" ht="7.5" customHeight="1" x14ac:dyDescent="0.25">
      <c r="A401" s="1"/>
      <c r="B401" s="334"/>
      <c r="C401" s="273"/>
      <c r="D401" s="273"/>
      <c r="E401" s="273"/>
      <c r="F401" s="273"/>
      <c r="G401" s="273"/>
      <c r="H401" s="273"/>
      <c r="I401" s="273"/>
      <c r="J401" s="273"/>
      <c r="K401" s="273"/>
      <c r="L401" s="273"/>
      <c r="M401" s="273"/>
      <c r="N401" s="273"/>
      <c r="O401" s="273"/>
      <c r="P401" s="273"/>
      <c r="Q401" s="273"/>
      <c r="R401" s="273"/>
      <c r="S401" s="273"/>
      <c r="T401" s="273"/>
      <c r="U401" s="273"/>
      <c r="V401" s="273"/>
      <c r="W401" s="273"/>
      <c r="X401" s="273"/>
      <c r="Y401" s="273"/>
      <c r="Z401" s="273"/>
      <c r="AA401" s="273"/>
      <c r="AB401" s="273"/>
      <c r="AC401" s="273"/>
      <c r="AD401" s="273"/>
      <c r="AE401" s="273"/>
      <c r="AF401" s="273"/>
      <c r="AG401" s="273"/>
      <c r="AH401" s="273"/>
      <c r="AI401" s="273"/>
      <c r="AJ401" s="273"/>
      <c r="AK401" s="273"/>
      <c r="AL401" s="273"/>
      <c r="AM401" s="273"/>
      <c r="AN401" s="273"/>
      <c r="AO401" s="273"/>
      <c r="AP401" s="273"/>
      <c r="AQ401" s="273"/>
      <c r="AR401" s="273"/>
      <c r="AS401" s="273"/>
      <c r="AT401" s="273"/>
      <c r="AU401" s="273"/>
      <c r="AV401" s="273"/>
      <c r="AW401" s="273"/>
      <c r="AX401" s="273"/>
      <c r="AY401" s="335"/>
      <c r="AZ401" s="334"/>
      <c r="BA401" s="273"/>
      <c r="BB401" s="273"/>
      <c r="BC401" s="273"/>
      <c r="BD401" s="273"/>
      <c r="BE401" s="273"/>
      <c r="BF401" s="273"/>
      <c r="BG401" s="273"/>
      <c r="BH401" s="273"/>
      <c r="BI401" s="273"/>
      <c r="BJ401" s="273"/>
      <c r="BK401" s="335"/>
      <c r="BL401" s="1"/>
      <c r="BM401" s="1"/>
      <c r="BN401" s="1"/>
      <c r="BO401" s="1"/>
      <c r="BP401" s="1"/>
      <c r="BQ401" s="1"/>
      <c r="BR401" s="1"/>
      <c r="BS401" s="1"/>
    </row>
    <row r="402" spans="1:71" ht="7.5" customHeight="1" x14ac:dyDescent="0.25">
      <c r="A402" s="1"/>
      <c r="B402" s="334"/>
      <c r="C402" s="273"/>
      <c r="D402" s="273"/>
      <c r="E402" s="273"/>
      <c r="F402" s="273"/>
      <c r="G402" s="273"/>
      <c r="H402" s="273"/>
      <c r="I402" s="273"/>
      <c r="J402" s="273"/>
      <c r="K402" s="273"/>
      <c r="L402" s="273"/>
      <c r="M402" s="273"/>
      <c r="N402" s="273"/>
      <c r="O402" s="273"/>
      <c r="P402" s="273"/>
      <c r="Q402" s="273"/>
      <c r="R402" s="273"/>
      <c r="S402" s="273"/>
      <c r="T402" s="273"/>
      <c r="U402" s="273"/>
      <c r="V402" s="273"/>
      <c r="W402" s="273"/>
      <c r="X402" s="273"/>
      <c r="Y402" s="273"/>
      <c r="Z402" s="273"/>
      <c r="AA402" s="273"/>
      <c r="AB402" s="273"/>
      <c r="AC402" s="273"/>
      <c r="AD402" s="273"/>
      <c r="AE402" s="273"/>
      <c r="AF402" s="273"/>
      <c r="AG402" s="273"/>
      <c r="AH402" s="273"/>
      <c r="AI402" s="273"/>
      <c r="AJ402" s="273"/>
      <c r="AK402" s="273"/>
      <c r="AL402" s="273"/>
      <c r="AM402" s="273"/>
      <c r="AN402" s="273"/>
      <c r="AO402" s="273"/>
      <c r="AP402" s="273"/>
      <c r="AQ402" s="273"/>
      <c r="AR402" s="273"/>
      <c r="AS402" s="273"/>
      <c r="AT402" s="273"/>
      <c r="AU402" s="273"/>
      <c r="AV402" s="273"/>
      <c r="AW402" s="273"/>
      <c r="AX402" s="273"/>
      <c r="AY402" s="335"/>
      <c r="AZ402" s="334"/>
      <c r="BA402" s="273"/>
      <c r="BB402" s="273"/>
      <c r="BC402" s="273"/>
      <c r="BD402" s="273"/>
      <c r="BE402" s="273"/>
      <c r="BF402" s="273"/>
      <c r="BG402" s="273"/>
      <c r="BH402" s="273"/>
      <c r="BI402" s="273"/>
      <c r="BJ402" s="273"/>
      <c r="BK402" s="335"/>
      <c r="BL402" s="1"/>
      <c r="BM402" s="1"/>
      <c r="BN402" s="1"/>
      <c r="BO402" s="1"/>
      <c r="BP402" s="1"/>
      <c r="BQ402" s="1"/>
      <c r="BR402" s="1"/>
      <c r="BS402" s="1"/>
    </row>
    <row r="403" spans="1:71" ht="7.5" customHeight="1" x14ac:dyDescent="0.25">
      <c r="A403" s="1"/>
      <c r="B403" s="334"/>
      <c r="C403" s="273"/>
      <c r="D403" s="273"/>
      <c r="E403" s="273"/>
      <c r="F403" s="273"/>
      <c r="G403" s="273"/>
      <c r="H403" s="273"/>
      <c r="I403" s="273"/>
      <c r="J403" s="273"/>
      <c r="K403" s="273"/>
      <c r="L403" s="273"/>
      <c r="M403" s="273"/>
      <c r="N403" s="273"/>
      <c r="O403" s="273"/>
      <c r="P403" s="273"/>
      <c r="Q403" s="273"/>
      <c r="R403" s="273"/>
      <c r="S403" s="273"/>
      <c r="T403" s="273"/>
      <c r="U403" s="273"/>
      <c r="V403" s="273"/>
      <c r="W403" s="273"/>
      <c r="X403" s="273"/>
      <c r="Y403" s="273"/>
      <c r="Z403" s="273"/>
      <c r="AA403" s="273"/>
      <c r="AB403" s="273"/>
      <c r="AC403" s="273"/>
      <c r="AD403" s="273"/>
      <c r="AE403" s="273"/>
      <c r="AF403" s="273"/>
      <c r="AG403" s="273"/>
      <c r="AH403" s="273"/>
      <c r="AI403" s="273"/>
      <c r="AJ403" s="273"/>
      <c r="AK403" s="273"/>
      <c r="AL403" s="273"/>
      <c r="AM403" s="273"/>
      <c r="AN403" s="273"/>
      <c r="AO403" s="273"/>
      <c r="AP403" s="273"/>
      <c r="AQ403" s="273"/>
      <c r="AR403" s="273"/>
      <c r="AS403" s="273"/>
      <c r="AT403" s="273"/>
      <c r="AU403" s="273"/>
      <c r="AV403" s="273"/>
      <c r="AW403" s="273"/>
      <c r="AX403" s="273"/>
      <c r="AY403" s="335"/>
      <c r="AZ403" s="334"/>
      <c r="BA403" s="273"/>
      <c r="BB403" s="273"/>
      <c r="BC403" s="273"/>
      <c r="BD403" s="273"/>
      <c r="BE403" s="273"/>
      <c r="BF403" s="273"/>
      <c r="BG403" s="273"/>
      <c r="BH403" s="273"/>
      <c r="BI403" s="273"/>
      <c r="BJ403" s="273"/>
      <c r="BK403" s="335"/>
      <c r="BL403" s="1"/>
      <c r="BM403" s="1"/>
      <c r="BN403" s="1"/>
      <c r="BO403" s="1"/>
      <c r="BP403" s="1"/>
      <c r="BQ403" s="1"/>
      <c r="BR403" s="1"/>
      <c r="BS403" s="1"/>
    </row>
    <row r="404" spans="1:71" ht="7.5" customHeight="1" x14ac:dyDescent="0.25">
      <c r="A404" s="1"/>
      <c r="B404" s="334"/>
      <c r="C404" s="273"/>
      <c r="D404" s="273"/>
      <c r="E404" s="273"/>
      <c r="F404" s="273"/>
      <c r="G404" s="273"/>
      <c r="H404" s="273"/>
      <c r="I404" s="273"/>
      <c r="J404" s="273"/>
      <c r="K404" s="273"/>
      <c r="L404" s="273"/>
      <c r="M404" s="273"/>
      <c r="N404" s="273"/>
      <c r="O404" s="273"/>
      <c r="P404" s="273"/>
      <c r="Q404" s="273"/>
      <c r="R404" s="273"/>
      <c r="S404" s="273"/>
      <c r="T404" s="273"/>
      <c r="U404" s="273"/>
      <c r="V404" s="273"/>
      <c r="W404" s="273"/>
      <c r="X404" s="273"/>
      <c r="Y404" s="273"/>
      <c r="Z404" s="273"/>
      <c r="AA404" s="273"/>
      <c r="AB404" s="273"/>
      <c r="AC404" s="273"/>
      <c r="AD404" s="273"/>
      <c r="AE404" s="273"/>
      <c r="AF404" s="273"/>
      <c r="AG404" s="273"/>
      <c r="AH404" s="273"/>
      <c r="AI404" s="273"/>
      <c r="AJ404" s="273"/>
      <c r="AK404" s="273"/>
      <c r="AL404" s="273"/>
      <c r="AM404" s="273"/>
      <c r="AN404" s="273"/>
      <c r="AO404" s="273"/>
      <c r="AP404" s="273"/>
      <c r="AQ404" s="273"/>
      <c r="AR404" s="273"/>
      <c r="AS404" s="273"/>
      <c r="AT404" s="273"/>
      <c r="AU404" s="273"/>
      <c r="AV404" s="273"/>
      <c r="AW404" s="273"/>
      <c r="AX404" s="273"/>
      <c r="AY404" s="335"/>
      <c r="AZ404" s="334"/>
      <c r="BA404" s="273"/>
      <c r="BB404" s="273"/>
      <c r="BC404" s="273"/>
      <c r="BD404" s="273"/>
      <c r="BE404" s="273"/>
      <c r="BF404" s="273"/>
      <c r="BG404" s="273"/>
      <c r="BH404" s="273"/>
      <c r="BI404" s="273"/>
      <c r="BJ404" s="273"/>
      <c r="BK404" s="335"/>
      <c r="BL404" s="1"/>
      <c r="BM404" s="1"/>
      <c r="BN404" s="1"/>
      <c r="BO404" s="1"/>
      <c r="BP404" s="1"/>
      <c r="BQ404" s="1"/>
      <c r="BR404" s="1"/>
      <c r="BS404" s="1"/>
    </row>
    <row r="405" spans="1:71" ht="7.5" customHeight="1" x14ac:dyDescent="0.25">
      <c r="A405" s="1"/>
      <c r="B405" s="336"/>
      <c r="C405" s="274"/>
      <c r="D405" s="274"/>
      <c r="E405" s="274"/>
      <c r="F405" s="274"/>
      <c r="G405" s="274"/>
      <c r="H405" s="274"/>
      <c r="I405" s="274"/>
      <c r="J405" s="274"/>
      <c r="K405" s="274"/>
      <c r="L405" s="274"/>
      <c r="M405" s="274"/>
      <c r="N405" s="274"/>
      <c r="O405" s="274"/>
      <c r="P405" s="274"/>
      <c r="Q405" s="274"/>
      <c r="R405" s="274"/>
      <c r="S405" s="274"/>
      <c r="T405" s="274"/>
      <c r="U405" s="274"/>
      <c r="V405" s="274"/>
      <c r="W405" s="274"/>
      <c r="X405" s="274"/>
      <c r="Y405" s="274"/>
      <c r="Z405" s="274"/>
      <c r="AA405" s="274"/>
      <c r="AB405" s="274"/>
      <c r="AC405" s="274"/>
      <c r="AD405" s="274"/>
      <c r="AE405" s="274"/>
      <c r="AF405" s="274"/>
      <c r="AG405" s="274"/>
      <c r="AH405" s="274"/>
      <c r="AI405" s="274"/>
      <c r="AJ405" s="274"/>
      <c r="AK405" s="274"/>
      <c r="AL405" s="274"/>
      <c r="AM405" s="274"/>
      <c r="AN405" s="274"/>
      <c r="AO405" s="274"/>
      <c r="AP405" s="274"/>
      <c r="AQ405" s="274"/>
      <c r="AR405" s="274"/>
      <c r="AS405" s="274"/>
      <c r="AT405" s="274"/>
      <c r="AU405" s="274"/>
      <c r="AV405" s="274"/>
      <c r="AW405" s="274"/>
      <c r="AX405" s="274"/>
      <c r="AY405" s="337"/>
      <c r="AZ405" s="336"/>
      <c r="BA405" s="274"/>
      <c r="BB405" s="274"/>
      <c r="BC405" s="274"/>
      <c r="BD405" s="274"/>
      <c r="BE405" s="274"/>
      <c r="BF405" s="274"/>
      <c r="BG405" s="274"/>
      <c r="BH405" s="274"/>
      <c r="BI405" s="274"/>
      <c r="BJ405" s="274"/>
      <c r="BK405" s="337"/>
      <c r="BL405" s="1"/>
      <c r="BM405" s="1"/>
      <c r="BN405" s="1"/>
      <c r="BO405" s="1"/>
      <c r="BP405" s="1"/>
      <c r="BQ405" s="1"/>
      <c r="BR405" s="1"/>
      <c r="BS405" s="1"/>
    </row>
    <row r="406" spans="1:71" ht="7.5" customHeight="1" x14ac:dyDescent="0.25">
      <c r="A406" s="1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1"/>
      <c r="BM406" s="1"/>
      <c r="BN406" s="1"/>
      <c r="BO406" s="1"/>
      <c r="BP406" s="1"/>
      <c r="BQ406" s="1"/>
      <c r="BR406" s="1"/>
      <c r="BS406" s="1"/>
    </row>
    <row r="407" spans="1:71" ht="7.5" customHeight="1" x14ac:dyDescent="0.25">
      <c r="A407" s="1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  <c r="BK407" s="40"/>
      <c r="BL407" s="1"/>
      <c r="BM407" s="1"/>
      <c r="BN407" s="1"/>
      <c r="BO407" s="1"/>
      <c r="BP407" s="1"/>
      <c r="BQ407" s="1"/>
      <c r="BR407" s="1"/>
      <c r="BS407" s="1"/>
    </row>
    <row r="408" spans="1:71" ht="7.5" customHeight="1" x14ac:dyDescent="0.25">
      <c r="A408" s="1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1"/>
      <c r="BM408" s="1"/>
      <c r="BN408" s="1"/>
      <c r="BO408" s="1"/>
      <c r="BP408" s="1"/>
      <c r="BQ408" s="1"/>
      <c r="BR408" s="1"/>
      <c r="BS408" s="1"/>
    </row>
    <row r="409" spans="1:71" ht="7.5" customHeight="1" x14ac:dyDescent="0.25">
      <c r="A409" s="1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  <c r="BK409" s="40"/>
      <c r="BL409" s="1"/>
      <c r="BM409" s="1"/>
      <c r="BN409" s="1"/>
      <c r="BO409" s="1"/>
      <c r="BP409" s="1"/>
      <c r="BQ409" s="1"/>
      <c r="BR409" s="1"/>
      <c r="BS409" s="1"/>
    </row>
    <row r="410" spans="1:71" ht="7.5" customHeight="1" x14ac:dyDescent="0.25">
      <c r="A410" s="1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1"/>
      <c r="BM410" s="1"/>
      <c r="BN410" s="1"/>
      <c r="BO410" s="1"/>
      <c r="BP410" s="1"/>
      <c r="BQ410" s="1"/>
      <c r="BR410" s="1"/>
      <c r="BS410" s="1"/>
    </row>
    <row r="411" spans="1:71" ht="7.5" customHeight="1" x14ac:dyDescent="0.25">
      <c r="A411" s="1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271" t="s">
        <v>1251</v>
      </c>
      <c r="AQ411" s="271"/>
      <c r="AR411" s="271"/>
      <c r="AS411" s="271"/>
      <c r="AT411" s="271"/>
      <c r="AU411" s="271"/>
      <c r="AV411" s="271"/>
      <c r="AW411" s="271"/>
      <c r="AX411" s="271"/>
      <c r="AY411" s="271"/>
      <c r="AZ411" s="271"/>
      <c r="BA411" s="271"/>
      <c r="BB411" s="271"/>
      <c r="BC411" s="271"/>
      <c r="BD411" s="271"/>
      <c r="BE411" s="271"/>
      <c r="BF411" s="271"/>
      <c r="BG411" s="271"/>
      <c r="BH411" s="273" t="s">
        <v>1256</v>
      </c>
      <c r="BI411" s="352" t="s">
        <v>1257</v>
      </c>
      <c r="BJ411" s="352"/>
      <c r="BK411" s="352"/>
      <c r="BL411" s="352"/>
      <c r="BM411" s="1"/>
      <c r="BN411" s="1"/>
      <c r="BO411" s="1"/>
      <c r="BP411" s="1"/>
      <c r="BQ411" s="1"/>
      <c r="BR411" s="1"/>
      <c r="BS411" s="1"/>
    </row>
    <row r="412" spans="1:71" ht="7.5" customHeight="1" x14ac:dyDescent="0.25">
      <c r="A412" s="1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271"/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1"/>
      <c r="BB412" s="271"/>
      <c r="BC412" s="271"/>
      <c r="BD412" s="271"/>
      <c r="BE412" s="271"/>
      <c r="BF412" s="271"/>
      <c r="BG412" s="271"/>
      <c r="BH412" s="273"/>
      <c r="BI412" s="352"/>
      <c r="BJ412" s="352"/>
      <c r="BK412" s="352"/>
      <c r="BL412" s="352"/>
      <c r="BM412" s="1"/>
      <c r="BN412" s="1"/>
      <c r="BO412" s="1"/>
      <c r="BP412" s="1"/>
      <c r="BQ412" s="1"/>
      <c r="BR412" s="1"/>
      <c r="BS412" s="1"/>
    </row>
    <row r="413" spans="1:71" ht="7.5" customHeight="1" x14ac:dyDescent="0.25">
      <c r="A413" s="1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82"/>
      <c r="AQ413" s="82"/>
      <c r="AR413" s="82"/>
      <c r="AS413" s="82"/>
      <c r="AT413" s="82"/>
      <c r="AU413" s="82"/>
      <c r="AV413" s="82"/>
      <c r="AW413" s="82"/>
      <c r="AX413" s="82"/>
      <c r="AY413" s="82"/>
      <c r="AZ413" s="82"/>
      <c r="BA413" s="82"/>
      <c r="BB413" s="82"/>
      <c r="BC413" s="82"/>
      <c r="BD413" s="82"/>
      <c r="BE413" s="82"/>
      <c r="BF413" s="82"/>
      <c r="BG413" s="82"/>
      <c r="BH413" s="40"/>
      <c r="BI413" s="83"/>
      <c r="BJ413" s="83"/>
      <c r="BK413" s="83"/>
      <c r="BL413" s="83"/>
      <c r="BM413" s="1"/>
      <c r="BN413" s="1"/>
      <c r="BO413" s="1"/>
      <c r="BP413" s="1"/>
      <c r="BQ413" s="1"/>
      <c r="BR413" s="1"/>
      <c r="BS413" s="1"/>
    </row>
    <row r="414" spans="1:71" ht="7.5" customHeight="1" x14ac:dyDescent="0.25">
      <c r="A414" s="1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82"/>
      <c r="AQ414" s="82"/>
      <c r="AR414" s="82"/>
      <c r="AS414" s="82"/>
      <c r="AT414" s="82"/>
      <c r="AU414" s="82"/>
      <c r="AV414" s="82"/>
      <c r="AW414" s="82"/>
      <c r="AX414" s="82"/>
      <c r="AY414" s="82"/>
      <c r="AZ414" s="82"/>
      <c r="BA414" s="82"/>
      <c r="BB414" s="82"/>
      <c r="BC414" s="82"/>
      <c r="BD414" s="82"/>
      <c r="BE414" s="82"/>
      <c r="BF414" s="82"/>
      <c r="BG414" s="82"/>
      <c r="BH414" s="40"/>
      <c r="BI414" s="83"/>
      <c r="BJ414" s="83"/>
      <c r="BK414" s="83"/>
      <c r="BL414" s="83"/>
      <c r="BM414" s="1"/>
      <c r="BN414" s="1"/>
      <c r="BO414" s="1"/>
      <c r="BP414" s="1"/>
      <c r="BQ414" s="1"/>
      <c r="BR414" s="1"/>
      <c r="BS414" s="1"/>
    </row>
    <row r="415" spans="1:71" ht="7.5" customHeight="1" x14ac:dyDescent="0.25">
      <c r="A415" s="1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82"/>
      <c r="AQ415" s="82"/>
      <c r="AR415" s="82"/>
      <c r="AS415" s="82"/>
      <c r="AT415" s="82"/>
      <c r="AU415" s="82"/>
      <c r="AV415" s="82"/>
      <c r="AW415" s="82"/>
      <c r="AX415" s="82"/>
      <c r="AY415" s="82"/>
      <c r="AZ415" s="82"/>
      <c r="BA415" s="82"/>
      <c r="BB415" s="82"/>
      <c r="BC415" s="82"/>
      <c r="BD415" s="82"/>
      <c r="BE415" s="82"/>
      <c r="BF415" s="82"/>
      <c r="BG415" s="82"/>
      <c r="BH415" s="40"/>
      <c r="BI415" s="83"/>
      <c r="BJ415" s="83"/>
      <c r="BK415" s="83"/>
      <c r="BL415" s="83"/>
      <c r="BM415" s="1"/>
      <c r="BN415" s="1"/>
      <c r="BO415" s="1"/>
      <c r="BP415" s="1"/>
      <c r="BQ415" s="1"/>
      <c r="BR415" s="1"/>
      <c r="BS415" s="1"/>
    </row>
    <row r="416" spans="1:71" ht="7.5" customHeight="1" x14ac:dyDescent="0.25">
      <c r="A416" s="1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82"/>
      <c r="AQ416" s="82"/>
      <c r="AR416" s="82"/>
      <c r="AS416" s="82"/>
      <c r="AT416" s="82"/>
      <c r="AU416" s="82"/>
      <c r="AV416" s="82"/>
      <c r="AW416" s="82"/>
      <c r="AX416" s="82"/>
      <c r="AY416" s="82"/>
      <c r="AZ416" s="82"/>
      <c r="BA416" s="82"/>
      <c r="BB416" s="82"/>
      <c r="BC416" s="82"/>
      <c r="BD416" s="82"/>
      <c r="BE416" s="82"/>
      <c r="BF416" s="82"/>
      <c r="BG416" s="82"/>
      <c r="BH416" s="40"/>
      <c r="BI416" s="83"/>
      <c r="BJ416" s="83"/>
      <c r="BK416" s="83"/>
      <c r="BL416" s="83"/>
      <c r="BM416" s="1"/>
      <c r="BN416" s="1"/>
      <c r="BO416" s="1"/>
      <c r="BP416" s="1"/>
      <c r="BQ416" s="1"/>
      <c r="BR416" s="1"/>
      <c r="BS416" s="1"/>
    </row>
    <row r="417" spans="1:71" ht="7.5" customHeight="1" x14ac:dyDescent="0.25">
      <c r="A417" s="1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  <c r="BK417" s="40"/>
      <c r="BL417" s="1"/>
      <c r="BM417" s="1"/>
      <c r="BN417" s="1"/>
      <c r="BO417" s="1"/>
      <c r="BP417" s="1"/>
      <c r="BQ417" s="1"/>
      <c r="BR417" s="1"/>
      <c r="BS417" s="1"/>
    </row>
    <row r="418" spans="1:71" ht="7.5" customHeight="1" thickBot="1" x14ac:dyDescent="0.3">
      <c r="A418" s="1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1"/>
      <c r="BM418" s="1"/>
      <c r="BN418" s="1"/>
      <c r="BO418" s="1"/>
      <c r="BP418" s="1"/>
      <c r="BQ418" s="1"/>
      <c r="BR418" s="1"/>
      <c r="BS418" s="1"/>
    </row>
    <row r="419" spans="1:71" ht="7.5" customHeight="1" thickTop="1" x14ac:dyDescent="0.25">
      <c r="A419" s="1"/>
      <c r="B419" s="1"/>
      <c r="C419" s="1"/>
      <c r="D419" s="1"/>
      <c r="E419" s="1"/>
      <c r="F419" s="1"/>
      <c r="G419" s="276" t="s">
        <v>1258</v>
      </c>
      <c r="H419" s="277"/>
      <c r="I419" s="277"/>
      <c r="J419" s="277"/>
      <c r="K419" s="277"/>
      <c r="L419" s="277"/>
      <c r="M419" s="277"/>
      <c r="N419" s="277"/>
      <c r="O419" s="277"/>
      <c r="P419" s="277"/>
      <c r="Q419" s="277"/>
      <c r="R419" s="277"/>
      <c r="S419" s="277"/>
      <c r="T419" s="277"/>
      <c r="U419" s="277"/>
      <c r="V419" s="277"/>
      <c r="W419" s="277"/>
      <c r="X419" s="277"/>
      <c r="Y419" s="277"/>
      <c r="Z419" s="277"/>
      <c r="AA419" s="277"/>
      <c r="AB419" s="277"/>
      <c r="AC419" s="277"/>
      <c r="AD419" s="277"/>
      <c r="AE419" s="277"/>
      <c r="AF419" s="277"/>
      <c r="AG419" s="277"/>
      <c r="AH419" s="277"/>
      <c r="AI419" s="277"/>
      <c r="AJ419" s="277"/>
      <c r="AK419" s="277"/>
      <c r="AL419" s="277"/>
      <c r="AM419" s="277"/>
      <c r="AN419" s="277"/>
      <c r="AO419" s="277"/>
      <c r="AP419" s="277"/>
      <c r="AQ419" s="278"/>
      <c r="AR419" s="1"/>
      <c r="AS419" s="1"/>
      <c r="AT419" s="1"/>
      <c r="AU419" s="1"/>
      <c r="AV419" s="1"/>
      <c r="AW419" s="1"/>
      <c r="AX419" s="1"/>
      <c r="AY419" s="1"/>
      <c r="AZ419" s="358" t="s">
        <v>1259</v>
      </c>
      <c r="BA419" s="358"/>
      <c r="BB419" s="358"/>
      <c r="BC419" s="358"/>
      <c r="BD419" s="358"/>
      <c r="BE419" s="358"/>
      <c r="BF419" s="358"/>
      <c r="BG419" s="358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</row>
    <row r="420" spans="1:71" ht="7.5" customHeight="1" x14ac:dyDescent="0.25">
      <c r="A420" s="1"/>
      <c r="B420" s="1"/>
      <c r="C420" s="1"/>
      <c r="D420" s="1"/>
      <c r="E420" s="1"/>
      <c r="F420" s="1"/>
      <c r="G420" s="279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100"/>
      <c r="AE420" s="100"/>
      <c r="AF420" s="100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280"/>
      <c r="AR420" s="1"/>
      <c r="AS420" s="1"/>
      <c r="AT420" s="1"/>
      <c r="AU420" s="1"/>
      <c r="AV420" s="1"/>
      <c r="AW420" s="1"/>
      <c r="AX420" s="1"/>
      <c r="AY420" s="1"/>
      <c r="AZ420" s="358"/>
      <c r="BA420" s="358"/>
      <c r="BB420" s="358"/>
      <c r="BC420" s="358"/>
      <c r="BD420" s="358"/>
      <c r="BE420" s="358"/>
      <c r="BF420" s="358"/>
      <c r="BG420" s="358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</row>
    <row r="421" spans="1:71" ht="7.5" customHeight="1" thickBot="1" x14ac:dyDescent="0.3">
      <c r="A421" s="1"/>
      <c r="B421" s="1"/>
      <c r="C421" s="1"/>
      <c r="D421" s="1"/>
      <c r="E421" s="1"/>
      <c r="F421" s="1"/>
      <c r="G421" s="281"/>
      <c r="H421" s="282"/>
      <c r="I421" s="282"/>
      <c r="J421" s="282"/>
      <c r="K421" s="282"/>
      <c r="L421" s="282"/>
      <c r="M421" s="282"/>
      <c r="N421" s="282"/>
      <c r="O421" s="282"/>
      <c r="P421" s="282"/>
      <c r="Q421" s="282"/>
      <c r="R421" s="282"/>
      <c r="S421" s="282"/>
      <c r="T421" s="282"/>
      <c r="U421" s="282"/>
      <c r="V421" s="282"/>
      <c r="W421" s="282"/>
      <c r="X421" s="282"/>
      <c r="Y421" s="282"/>
      <c r="Z421" s="282"/>
      <c r="AA421" s="282"/>
      <c r="AB421" s="282"/>
      <c r="AC421" s="282"/>
      <c r="AD421" s="282"/>
      <c r="AE421" s="282"/>
      <c r="AF421" s="282"/>
      <c r="AG421" s="282"/>
      <c r="AH421" s="282"/>
      <c r="AI421" s="282"/>
      <c r="AJ421" s="282"/>
      <c r="AK421" s="282"/>
      <c r="AL421" s="282"/>
      <c r="AM421" s="282"/>
      <c r="AN421" s="282"/>
      <c r="AO421" s="282"/>
      <c r="AP421" s="282"/>
      <c r="AQ421" s="283"/>
      <c r="AR421" s="1"/>
      <c r="AS421" s="1"/>
      <c r="AT421" s="1"/>
      <c r="AU421" s="1"/>
      <c r="AV421" s="1"/>
      <c r="AW421" s="1"/>
      <c r="AX421" s="1"/>
      <c r="AY421" s="1"/>
      <c r="AZ421" s="358"/>
      <c r="BA421" s="358"/>
      <c r="BB421" s="358"/>
      <c r="BC421" s="358"/>
      <c r="BD421" s="358"/>
      <c r="BE421" s="358"/>
      <c r="BF421" s="358"/>
      <c r="BG421" s="358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</row>
    <row r="422" spans="1:71" ht="7.5" customHeight="1" thickTop="1" x14ac:dyDescent="0.25">
      <c r="A422" s="1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1"/>
      <c r="BM422" s="1"/>
      <c r="BN422" s="1"/>
      <c r="BO422" s="1"/>
      <c r="BP422" s="1"/>
      <c r="BQ422" s="1"/>
      <c r="BR422" s="1"/>
      <c r="BS422" s="1"/>
    </row>
    <row r="423" spans="1:71" ht="7.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</row>
    <row r="424" spans="1:71" ht="7.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</row>
    <row r="425" spans="1:71" ht="7.5" customHeight="1" x14ac:dyDescent="0.25">
      <c r="A425" s="1"/>
      <c r="B425" s="245" t="s">
        <v>1342</v>
      </c>
      <c r="C425" s="246"/>
      <c r="D425" s="246"/>
      <c r="E425" s="246"/>
      <c r="F425" s="246"/>
      <c r="G425" s="246"/>
      <c r="H425" s="246"/>
      <c r="I425" s="246"/>
      <c r="J425" s="246"/>
      <c r="K425" s="246"/>
      <c r="L425" s="246"/>
      <c r="M425" s="246"/>
      <c r="N425" s="246"/>
      <c r="O425" s="246"/>
      <c r="P425" s="246"/>
      <c r="Q425" s="246"/>
      <c r="R425" s="246"/>
      <c r="S425" s="246"/>
      <c r="T425" s="246"/>
      <c r="U425" s="246"/>
      <c r="V425" s="246"/>
      <c r="W425" s="246"/>
      <c r="X425" s="246"/>
      <c r="Y425" s="246"/>
      <c r="Z425" s="246"/>
      <c r="AA425" s="246"/>
      <c r="AB425" s="246"/>
      <c r="AC425" s="246"/>
      <c r="AD425" s="247"/>
      <c r="AE425" s="219" t="s">
        <v>1304</v>
      </c>
      <c r="AF425" s="220"/>
      <c r="AG425" s="220"/>
      <c r="AH425" s="220"/>
      <c r="AI425" s="220"/>
      <c r="AJ425" s="220"/>
      <c r="AK425" s="220"/>
      <c r="AL425" s="60"/>
      <c r="AM425" s="60"/>
      <c r="AN425" s="60"/>
      <c r="AO425" s="60"/>
      <c r="AP425" s="60"/>
      <c r="AQ425" s="60"/>
      <c r="AR425" s="60"/>
      <c r="AS425" s="60"/>
      <c r="AT425" s="60"/>
      <c r="AU425" s="60"/>
      <c r="AV425" s="60"/>
      <c r="AW425" s="60"/>
      <c r="AX425" s="60"/>
      <c r="AY425" s="60"/>
      <c r="AZ425" s="60"/>
      <c r="BA425" s="39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 t="s">
        <v>1271</v>
      </c>
      <c r="BN425" s="1"/>
      <c r="BO425" s="1"/>
      <c r="BP425" s="1"/>
      <c r="BQ425" s="1"/>
      <c r="BR425" s="1"/>
      <c r="BS425" s="1"/>
    </row>
    <row r="426" spans="1:71" ht="7.5" customHeight="1" x14ac:dyDescent="0.25">
      <c r="A426" s="1"/>
      <c r="B426" s="248"/>
      <c r="C426" s="249"/>
      <c r="D426" s="249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49"/>
      <c r="AC426" s="249"/>
      <c r="AD426" s="250"/>
      <c r="AE426" s="99"/>
      <c r="AF426" s="100"/>
      <c r="AG426" s="100"/>
      <c r="AH426" s="100"/>
      <c r="AI426" s="100"/>
      <c r="AJ426" s="100"/>
      <c r="AK426" s="100"/>
      <c r="AL426" s="1"/>
      <c r="AM426" s="332" t="str">
        <f>IF(BM425="YES","X"," ")</f>
        <v xml:space="preserve"> </v>
      </c>
      <c r="AN426" s="333"/>
      <c r="AO426" s="334" t="s">
        <v>1272</v>
      </c>
      <c r="AP426" s="273"/>
      <c r="AQ426" s="273"/>
      <c r="AR426" s="273"/>
      <c r="AS426" s="1"/>
      <c r="AT426" s="1"/>
      <c r="AU426" s="332" t="str">
        <f>IF(BM425="NO","X"," ")</f>
        <v>X</v>
      </c>
      <c r="AV426" s="333"/>
      <c r="AW426" s="334" t="s">
        <v>1273</v>
      </c>
      <c r="AX426" s="273"/>
      <c r="AY426" s="273"/>
      <c r="AZ426" s="1"/>
      <c r="BA426" s="5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 t="s">
        <v>1271</v>
      </c>
      <c r="BN426" s="1"/>
      <c r="BO426" s="1"/>
      <c r="BP426" s="1"/>
      <c r="BQ426" s="1"/>
      <c r="BR426" s="1"/>
      <c r="BS426" s="1"/>
    </row>
    <row r="427" spans="1:71" ht="7.5" customHeight="1" x14ac:dyDescent="0.25">
      <c r="A427" s="1"/>
      <c r="B427" s="248"/>
      <c r="C427" s="249"/>
      <c r="D427" s="249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49"/>
      <c r="AC427" s="249"/>
      <c r="AD427" s="250"/>
      <c r="AE427" s="99"/>
      <c r="AF427" s="100"/>
      <c r="AG427" s="100"/>
      <c r="AH427" s="100"/>
      <c r="AI427" s="100"/>
      <c r="AJ427" s="100"/>
      <c r="AK427" s="100"/>
      <c r="AL427" s="1"/>
      <c r="AM427" s="336"/>
      <c r="AN427" s="337"/>
      <c r="AO427" s="334"/>
      <c r="AP427" s="273"/>
      <c r="AQ427" s="273"/>
      <c r="AR427" s="273"/>
      <c r="AS427" s="1"/>
      <c r="AT427" s="1"/>
      <c r="AU427" s="336"/>
      <c r="AV427" s="337"/>
      <c r="AW427" s="334"/>
      <c r="AX427" s="273"/>
      <c r="AY427" s="273"/>
      <c r="AZ427" s="1"/>
      <c r="BA427" s="5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</row>
    <row r="428" spans="1:71" ht="7.5" customHeight="1" x14ac:dyDescent="0.25">
      <c r="A428" s="1"/>
      <c r="B428" s="248"/>
      <c r="C428" s="249"/>
      <c r="D428" s="249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49"/>
      <c r="AC428" s="249"/>
      <c r="AD428" s="250"/>
      <c r="AE428" s="99"/>
      <c r="AF428" s="100"/>
      <c r="AG428" s="100"/>
      <c r="AH428" s="100"/>
      <c r="AI428" s="100"/>
      <c r="AJ428" s="100"/>
      <c r="AK428" s="100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5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</row>
    <row r="429" spans="1:71" ht="7.5" customHeight="1" x14ac:dyDescent="0.25">
      <c r="A429" s="1"/>
      <c r="B429" s="332"/>
      <c r="C429" s="275"/>
      <c r="D429" s="275"/>
      <c r="E429" s="275"/>
      <c r="F429" s="275"/>
      <c r="G429" s="275"/>
      <c r="H429" s="275"/>
      <c r="I429" s="275"/>
      <c r="J429" s="275"/>
      <c r="K429" s="275"/>
      <c r="L429" s="275"/>
      <c r="M429" s="275"/>
      <c r="N429" s="275"/>
      <c r="O429" s="275"/>
      <c r="P429" s="275"/>
      <c r="Q429" s="275"/>
      <c r="R429" s="275"/>
      <c r="S429" s="275"/>
      <c r="T429" s="275"/>
      <c r="U429" s="275"/>
      <c r="V429" s="275"/>
      <c r="W429" s="333"/>
      <c r="X429" s="383" t="s">
        <v>1343</v>
      </c>
      <c r="Y429" s="384"/>
      <c r="Z429" s="384"/>
      <c r="AA429" s="384"/>
      <c r="AB429" s="384"/>
      <c r="AC429" s="384"/>
      <c r="AD429" s="384"/>
      <c r="AE429" s="384"/>
      <c r="AF429" s="384"/>
      <c r="AG429" s="443"/>
      <c r="AH429" s="383" t="s">
        <v>1344</v>
      </c>
      <c r="AI429" s="384"/>
      <c r="AJ429" s="384"/>
      <c r="AK429" s="384"/>
      <c r="AL429" s="384"/>
      <c r="AM429" s="384"/>
      <c r="AN429" s="384"/>
      <c r="AO429" s="384"/>
      <c r="AP429" s="384"/>
      <c r="AQ429" s="443"/>
      <c r="AR429" s="383" t="s">
        <v>1345</v>
      </c>
      <c r="AS429" s="384"/>
      <c r="AT429" s="384"/>
      <c r="AU429" s="384"/>
      <c r="AV429" s="384"/>
      <c r="AW429" s="384"/>
      <c r="AX429" s="384"/>
      <c r="AY429" s="384"/>
      <c r="AZ429" s="384"/>
      <c r="BA429" s="443"/>
      <c r="BB429" s="383" t="s">
        <v>1346</v>
      </c>
      <c r="BC429" s="384"/>
      <c r="BD429" s="384"/>
      <c r="BE429" s="384"/>
      <c r="BF429" s="384"/>
      <c r="BG429" s="384"/>
      <c r="BH429" s="384"/>
      <c r="BI429" s="384"/>
      <c r="BJ429" s="384"/>
      <c r="BK429" s="443"/>
      <c r="BL429" s="1"/>
      <c r="BM429" s="1"/>
      <c r="BN429" s="1"/>
      <c r="BO429" s="1"/>
      <c r="BP429" s="1"/>
      <c r="BQ429" s="1"/>
      <c r="BR429" s="1"/>
      <c r="BS429" s="1"/>
    </row>
    <row r="430" spans="1:71" ht="7.5" customHeight="1" x14ac:dyDescent="0.25">
      <c r="A430" s="1"/>
      <c r="B430" s="334"/>
      <c r="C430" s="273"/>
      <c r="D430" s="273"/>
      <c r="E430" s="273"/>
      <c r="F430" s="273"/>
      <c r="G430" s="273"/>
      <c r="H430" s="273"/>
      <c r="I430" s="273"/>
      <c r="J430" s="273"/>
      <c r="K430" s="273"/>
      <c r="L430" s="273"/>
      <c r="M430" s="273"/>
      <c r="N430" s="273"/>
      <c r="O430" s="273"/>
      <c r="P430" s="273"/>
      <c r="Q430" s="273"/>
      <c r="R430" s="273"/>
      <c r="S430" s="273"/>
      <c r="T430" s="273"/>
      <c r="U430" s="273"/>
      <c r="V430" s="273"/>
      <c r="W430" s="335"/>
      <c r="X430" s="385"/>
      <c r="Y430" s="386"/>
      <c r="Z430" s="386"/>
      <c r="AA430" s="386"/>
      <c r="AB430" s="386"/>
      <c r="AC430" s="386"/>
      <c r="AD430" s="386"/>
      <c r="AE430" s="386"/>
      <c r="AF430" s="386"/>
      <c r="AG430" s="444"/>
      <c r="AH430" s="385"/>
      <c r="AI430" s="386"/>
      <c r="AJ430" s="386"/>
      <c r="AK430" s="386"/>
      <c r="AL430" s="386"/>
      <c r="AM430" s="386"/>
      <c r="AN430" s="386"/>
      <c r="AO430" s="386"/>
      <c r="AP430" s="386"/>
      <c r="AQ430" s="444"/>
      <c r="AR430" s="385"/>
      <c r="AS430" s="386"/>
      <c r="AT430" s="386"/>
      <c r="AU430" s="386"/>
      <c r="AV430" s="386"/>
      <c r="AW430" s="386"/>
      <c r="AX430" s="386"/>
      <c r="AY430" s="386"/>
      <c r="AZ430" s="386"/>
      <c r="BA430" s="444"/>
      <c r="BB430" s="385"/>
      <c r="BC430" s="386"/>
      <c r="BD430" s="386"/>
      <c r="BE430" s="386"/>
      <c r="BF430" s="386"/>
      <c r="BG430" s="386"/>
      <c r="BH430" s="386"/>
      <c r="BI430" s="386"/>
      <c r="BJ430" s="386"/>
      <c r="BK430" s="444"/>
      <c r="BL430" s="1"/>
      <c r="BM430" s="1"/>
      <c r="BN430" s="1"/>
      <c r="BO430" s="1"/>
      <c r="BP430" s="1"/>
      <c r="BQ430" s="1"/>
      <c r="BR430" s="1"/>
      <c r="BS430" s="1"/>
    </row>
    <row r="431" spans="1:71" ht="7.5" customHeight="1" x14ac:dyDescent="0.25">
      <c r="A431" s="1"/>
      <c r="B431" s="336"/>
      <c r="C431" s="274"/>
      <c r="D431" s="274"/>
      <c r="E431" s="274"/>
      <c r="F431" s="274"/>
      <c r="G431" s="274"/>
      <c r="H431" s="274"/>
      <c r="I431" s="274"/>
      <c r="J431" s="274"/>
      <c r="K431" s="274"/>
      <c r="L431" s="274"/>
      <c r="M431" s="274"/>
      <c r="N431" s="274"/>
      <c r="O431" s="274"/>
      <c r="P431" s="274"/>
      <c r="Q431" s="274"/>
      <c r="R431" s="274"/>
      <c r="S431" s="274"/>
      <c r="T431" s="274"/>
      <c r="U431" s="274"/>
      <c r="V431" s="274"/>
      <c r="W431" s="337"/>
      <c r="X431" s="445"/>
      <c r="Y431" s="446"/>
      <c r="Z431" s="446"/>
      <c r="AA431" s="446"/>
      <c r="AB431" s="446"/>
      <c r="AC431" s="446"/>
      <c r="AD431" s="446"/>
      <c r="AE431" s="446"/>
      <c r="AF431" s="446"/>
      <c r="AG431" s="447"/>
      <c r="AH431" s="445"/>
      <c r="AI431" s="446"/>
      <c r="AJ431" s="446"/>
      <c r="AK431" s="446"/>
      <c r="AL431" s="446"/>
      <c r="AM431" s="446"/>
      <c r="AN431" s="446"/>
      <c r="AO431" s="446"/>
      <c r="AP431" s="446"/>
      <c r="AQ431" s="447"/>
      <c r="AR431" s="445"/>
      <c r="AS431" s="446"/>
      <c r="AT431" s="446"/>
      <c r="AU431" s="446"/>
      <c r="AV431" s="446"/>
      <c r="AW431" s="446"/>
      <c r="AX431" s="446"/>
      <c r="AY431" s="446"/>
      <c r="AZ431" s="446"/>
      <c r="BA431" s="447"/>
      <c r="BB431" s="445"/>
      <c r="BC431" s="446"/>
      <c r="BD431" s="446"/>
      <c r="BE431" s="446"/>
      <c r="BF431" s="446"/>
      <c r="BG431" s="446"/>
      <c r="BH431" s="446"/>
      <c r="BI431" s="446"/>
      <c r="BJ431" s="446"/>
      <c r="BK431" s="447"/>
      <c r="BL431" s="1"/>
      <c r="BM431" s="1"/>
      <c r="BN431" s="1"/>
      <c r="BO431" s="1"/>
      <c r="BP431" s="1"/>
      <c r="BQ431" s="1"/>
      <c r="BR431" s="1"/>
      <c r="BS431" s="1"/>
    </row>
    <row r="432" spans="1:71" ht="7.5" customHeight="1" x14ac:dyDescent="0.25">
      <c r="A432" s="1"/>
      <c r="B432" s="359" t="s">
        <v>1347</v>
      </c>
      <c r="C432" s="360"/>
      <c r="D432" s="360"/>
      <c r="E432" s="360"/>
      <c r="F432" s="360"/>
      <c r="G432" s="360"/>
      <c r="H432" s="360"/>
      <c r="I432" s="360"/>
      <c r="J432" s="360"/>
      <c r="K432" s="360"/>
      <c r="L432" s="360"/>
      <c r="M432" s="360"/>
      <c r="N432" s="360"/>
      <c r="O432" s="360"/>
      <c r="P432" s="360"/>
      <c r="Q432" s="360"/>
      <c r="R432" s="360"/>
      <c r="S432" s="360"/>
      <c r="T432" s="360"/>
      <c r="U432" s="360"/>
      <c r="V432" s="360"/>
      <c r="W432" s="361"/>
      <c r="X432" s="332"/>
      <c r="Y432" s="275"/>
      <c r="Z432" s="275"/>
      <c r="AA432" s="275"/>
      <c r="AB432" s="275"/>
      <c r="AC432" s="275"/>
      <c r="AD432" s="275"/>
      <c r="AE432" s="275"/>
      <c r="AF432" s="275"/>
      <c r="AG432" s="333"/>
      <c r="AH432" s="332"/>
      <c r="AI432" s="275"/>
      <c r="AJ432" s="275"/>
      <c r="AK432" s="275"/>
      <c r="AL432" s="275"/>
      <c r="AM432" s="275"/>
      <c r="AN432" s="275"/>
      <c r="AO432" s="275"/>
      <c r="AP432" s="275"/>
      <c r="AQ432" s="333"/>
      <c r="AR432" s="332"/>
      <c r="AS432" s="275"/>
      <c r="AT432" s="275"/>
      <c r="AU432" s="275"/>
      <c r="AV432" s="275"/>
      <c r="AW432" s="275"/>
      <c r="AX432" s="275"/>
      <c r="AY432" s="275"/>
      <c r="AZ432" s="275"/>
      <c r="BA432" s="333"/>
      <c r="BB432" s="332"/>
      <c r="BC432" s="275"/>
      <c r="BD432" s="275"/>
      <c r="BE432" s="275"/>
      <c r="BF432" s="275"/>
      <c r="BG432" s="275"/>
      <c r="BH432" s="275"/>
      <c r="BI432" s="275"/>
      <c r="BJ432" s="275"/>
      <c r="BK432" s="333"/>
      <c r="BL432" s="1"/>
      <c r="BM432" s="1"/>
      <c r="BN432" s="1"/>
      <c r="BO432" s="1"/>
      <c r="BP432" s="1"/>
      <c r="BQ432" s="1"/>
      <c r="BR432" s="1"/>
      <c r="BS432" s="1"/>
    </row>
    <row r="433" spans="1:71" ht="7.5" customHeight="1" x14ac:dyDescent="0.25">
      <c r="A433" s="1"/>
      <c r="B433" s="354"/>
      <c r="C433" s="355"/>
      <c r="D433" s="355"/>
      <c r="E433" s="355"/>
      <c r="F433" s="355"/>
      <c r="G433" s="355"/>
      <c r="H433" s="355"/>
      <c r="I433" s="355"/>
      <c r="J433" s="355"/>
      <c r="K433" s="355"/>
      <c r="L433" s="355"/>
      <c r="M433" s="355"/>
      <c r="N433" s="355"/>
      <c r="O433" s="355"/>
      <c r="P433" s="355"/>
      <c r="Q433" s="355"/>
      <c r="R433" s="355"/>
      <c r="S433" s="355"/>
      <c r="T433" s="355"/>
      <c r="U433" s="355"/>
      <c r="V433" s="355"/>
      <c r="W433" s="412"/>
      <c r="X433" s="334"/>
      <c r="Y433" s="273"/>
      <c r="Z433" s="273"/>
      <c r="AA433" s="273"/>
      <c r="AB433" s="273"/>
      <c r="AC433" s="273"/>
      <c r="AD433" s="273"/>
      <c r="AE433" s="273"/>
      <c r="AF433" s="273"/>
      <c r="AG433" s="335"/>
      <c r="AH433" s="334"/>
      <c r="AI433" s="273"/>
      <c r="AJ433" s="273"/>
      <c r="AK433" s="273"/>
      <c r="AL433" s="273"/>
      <c r="AM433" s="273"/>
      <c r="AN433" s="273"/>
      <c r="AO433" s="273"/>
      <c r="AP433" s="273"/>
      <c r="AQ433" s="335"/>
      <c r="AR433" s="334"/>
      <c r="AS433" s="273"/>
      <c r="AT433" s="273"/>
      <c r="AU433" s="273"/>
      <c r="AV433" s="273"/>
      <c r="AW433" s="273"/>
      <c r="AX433" s="273"/>
      <c r="AY433" s="273"/>
      <c r="AZ433" s="273"/>
      <c r="BA433" s="335"/>
      <c r="BB433" s="334"/>
      <c r="BC433" s="273"/>
      <c r="BD433" s="273"/>
      <c r="BE433" s="273"/>
      <c r="BF433" s="273"/>
      <c r="BG433" s="273"/>
      <c r="BH433" s="273"/>
      <c r="BI433" s="273"/>
      <c r="BJ433" s="273"/>
      <c r="BK433" s="335"/>
      <c r="BL433" s="1"/>
      <c r="BM433" s="1"/>
      <c r="BN433" s="1"/>
      <c r="BO433" s="1"/>
      <c r="BP433" s="1"/>
      <c r="BQ433" s="1"/>
      <c r="BR433" s="1"/>
      <c r="BS433" s="1"/>
    </row>
    <row r="434" spans="1:71" ht="7.5" customHeight="1" x14ac:dyDescent="0.25">
      <c r="A434" s="1"/>
      <c r="B434" s="356"/>
      <c r="C434" s="357"/>
      <c r="D434" s="357"/>
      <c r="E434" s="357"/>
      <c r="F434" s="357"/>
      <c r="G434" s="357"/>
      <c r="H434" s="357"/>
      <c r="I434" s="357"/>
      <c r="J434" s="357"/>
      <c r="K434" s="357"/>
      <c r="L434" s="357"/>
      <c r="M434" s="357"/>
      <c r="N434" s="357"/>
      <c r="O434" s="357"/>
      <c r="P434" s="357"/>
      <c r="Q434" s="357"/>
      <c r="R434" s="357"/>
      <c r="S434" s="357"/>
      <c r="T434" s="357"/>
      <c r="U434" s="357"/>
      <c r="V434" s="357"/>
      <c r="W434" s="362"/>
      <c r="X434" s="336"/>
      <c r="Y434" s="274"/>
      <c r="Z434" s="274"/>
      <c r="AA434" s="274"/>
      <c r="AB434" s="274"/>
      <c r="AC434" s="274"/>
      <c r="AD434" s="274"/>
      <c r="AE434" s="274"/>
      <c r="AF434" s="274"/>
      <c r="AG434" s="337"/>
      <c r="AH434" s="336"/>
      <c r="AI434" s="274"/>
      <c r="AJ434" s="274"/>
      <c r="AK434" s="274"/>
      <c r="AL434" s="274"/>
      <c r="AM434" s="274"/>
      <c r="AN434" s="274"/>
      <c r="AO434" s="274"/>
      <c r="AP434" s="274"/>
      <c r="AQ434" s="337"/>
      <c r="AR434" s="336"/>
      <c r="AS434" s="274"/>
      <c r="AT434" s="274"/>
      <c r="AU434" s="274"/>
      <c r="AV434" s="274"/>
      <c r="AW434" s="274"/>
      <c r="AX434" s="274"/>
      <c r="AY434" s="274"/>
      <c r="AZ434" s="274"/>
      <c r="BA434" s="337"/>
      <c r="BB434" s="336"/>
      <c r="BC434" s="274"/>
      <c r="BD434" s="274"/>
      <c r="BE434" s="274"/>
      <c r="BF434" s="274"/>
      <c r="BG434" s="274"/>
      <c r="BH434" s="274"/>
      <c r="BI434" s="274"/>
      <c r="BJ434" s="274"/>
      <c r="BK434" s="337"/>
      <c r="BL434" s="1"/>
      <c r="BM434" s="1"/>
      <c r="BN434" s="1"/>
      <c r="BO434" s="1"/>
      <c r="BP434" s="1"/>
      <c r="BQ434" s="1"/>
      <c r="BR434" s="1"/>
      <c r="BS434" s="1"/>
    </row>
    <row r="435" spans="1:71" ht="7.5" customHeight="1" x14ac:dyDescent="0.25">
      <c r="A435" s="1"/>
      <c r="B435" s="359" t="s">
        <v>1348</v>
      </c>
      <c r="C435" s="360"/>
      <c r="D435" s="360"/>
      <c r="E435" s="360"/>
      <c r="F435" s="360"/>
      <c r="G435" s="360"/>
      <c r="H435" s="360"/>
      <c r="I435" s="360"/>
      <c r="J435" s="360"/>
      <c r="K435" s="360"/>
      <c r="L435" s="360"/>
      <c r="M435" s="360"/>
      <c r="N435" s="360"/>
      <c r="O435" s="360"/>
      <c r="P435" s="360"/>
      <c r="Q435" s="360"/>
      <c r="R435" s="360"/>
      <c r="S435" s="360"/>
      <c r="T435" s="360"/>
      <c r="U435" s="360"/>
      <c r="V435" s="360"/>
      <c r="W435" s="361"/>
      <c r="X435" s="332"/>
      <c r="Y435" s="275"/>
      <c r="Z435" s="275"/>
      <c r="AA435" s="275"/>
      <c r="AB435" s="275"/>
      <c r="AC435" s="118" t="s">
        <v>1349</v>
      </c>
      <c r="AD435" s="118"/>
      <c r="AE435" s="118"/>
      <c r="AF435" s="118"/>
      <c r="AG435" s="119"/>
      <c r="AH435" s="332"/>
      <c r="AI435" s="275"/>
      <c r="AJ435" s="275"/>
      <c r="AK435" s="275"/>
      <c r="AL435" s="275"/>
      <c r="AM435" s="118" t="s">
        <v>1349</v>
      </c>
      <c r="AN435" s="118"/>
      <c r="AO435" s="118"/>
      <c r="AP435" s="118"/>
      <c r="AQ435" s="119"/>
      <c r="AR435" s="332"/>
      <c r="AS435" s="275"/>
      <c r="AT435" s="275"/>
      <c r="AU435" s="275"/>
      <c r="AV435" s="275"/>
      <c r="AW435" s="118" t="s">
        <v>1349</v>
      </c>
      <c r="AX435" s="118"/>
      <c r="AY435" s="118"/>
      <c r="AZ435" s="118"/>
      <c r="BA435" s="119"/>
      <c r="BB435" s="332"/>
      <c r="BC435" s="275"/>
      <c r="BD435" s="275"/>
      <c r="BE435" s="275"/>
      <c r="BF435" s="275"/>
      <c r="BG435" s="118" t="s">
        <v>1349</v>
      </c>
      <c r="BH435" s="118"/>
      <c r="BI435" s="118"/>
      <c r="BJ435" s="118"/>
      <c r="BK435" s="119"/>
      <c r="BL435" s="1"/>
      <c r="BM435" s="1"/>
      <c r="BN435" s="1"/>
      <c r="BO435" s="1"/>
      <c r="BP435" s="1"/>
      <c r="BQ435" s="1"/>
      <c r="BR435" s="1"/>
      <c r="BS435" s="1"/>
    </row>
    <row r="436" spans="1:71" ht="7.5" customHeight="1" x14ac:dyDescent="0.25">
      <c r="A436" s="1"/>
      <c r="B436" s="354"/>
      <c r="C436" s="355"/>
      <c r="D436" s="355"/>
      <c r="E436" s="355"/>
      <c r="F436" s="355"/>
      <c r="G436" s="355"/>
      <c r="H436" s="355"/>
      <c r="I436" s="355"/>
      <c r="J436" s="355"/>
      <c r="K436" s="355"/>
      <c r="L436" s="355"/>
      <c r="M436" s="355"/>
      <c r="N436" s="355"/>
      <c r="O436" s="355"/>
      <c r="P436" s="355"/>
      <c r="Q436" s="355"/>
      <c r="R436" s="355"/>
      <c r="S436" s="355"/>
      <c r="T436" s="355"/>
      <c r="U436" s="355"/>
      <c r="V436" s="355"/>
      <c r="W436" s="412"/>
      <c r="X436" s="334"/>
      <c r="Y436" s="273"/>
      <c r="Z436" s="273"/>
      <c r="AA436" s="273"/>
      <c r="AB436" s="273"/>
      <c r="AC436" s="121"/>
      <c r="AD436" s="121"/>
      <c r="AE436" s="121"/>
      <c r="AF436" s="121"/>
      <c r="AG436" s="122"/>
      <c r="AH436" s="334"/>
      <c r="AI436" s="273"/>
      <c r="AJ436" s="273"/>
      <c r="AK436" s="273"/>
      <c r="AL436" s="273"/>
      <c r="AM436" s="121"/>
      <c r="AN436" s="121"/>
      <c r="AO436" s="121"/>
      <c r="AP436" s="121"/>
      <c r="AQ436" s="122"/>
      <c r="AR436" s="334"/>
      <c r="AS436" s="273"/>
      <c r="AT436" s="273"/>
      <c r="AU436" s="273"/>
      <c r="AV436" s="273"/>
      <c r="AW436" s="121"/>
      <c r="AX436" s="121"/>
      <c r="AY436" s="121"/>
      <c r="AZ436" s="121"/>
      <c r="BA436" s="122"/>
      <c r="BB436" s="334"/>
      <c r="BC436" s="273"/>
      <c r="BD436" s="273"/>
      <c r="BE436" s="273"/>
      <c r="BF436" s="273"/>
      <c r="BG436" s="121"/>
      <c r="BH436" s="121"/>
      <c r="BI436" s="121"/>
      <c r="BJ436" s="121"/>
      <c r="BK436" s="122"/>
      <c r="BL436" s="1"/>
      <c r="BM436" s="1"/>
      <c r="BN436" s="1"/>
      <c r="BO436" s="1"/>
      <c r="BP436" s="1"/>
      <c r="BQ436" s="1"/>
      <c r="BR436" s="1"/>
      <c r="BS436" s="1"/>
    </row>
    <row r="437" spans="1:71" ht="7.5" customHeight="1" x14ac:dyDescent="0.25">
      <c r="A437" s="1"/>
      <c r="B437" s="356"/>
      <c r="C437" s="357"/>
      <c r="D437" s="357"/>
      <c r="E437" s="357"/>
      <c r="F437" s="357"/>
      <c r="G437" s="357"/>
      <c r="H437" s="357"/>
      <c r="I437" s="357"/>
      <c r="J437" s="357"/>
      <c r="K437" s="357"/>
      <c r="L437" s="357"/>
      <c r="M437" s="357"/>
      <c r="N437" s="357"/>
      <c r="O437" s="357"/>
      <c r="P437" s="357"/>
      <c r="Q437" s="357"/>
      <c r="R437" s="357"/>
      <c r="S437" s="357"/>
      <c r="T437" s="357"/>
      <c r="U437" s="357"/>
      <c r="V437" s="357"/>
      <c r="W437" s="362"/>
      <c r="X437" s="336"/>
      <c r="Y437" s="274"/>
      <c r="Z437" s="274"/>
      <c r="AA437" s="274"/>
      <c r="AB437" s="274"/>
      <c r="AC437" s="124"/>
      <c r="AD437" s="124"/>
      <c r="AE437" s="124"/>
      <c r="AF437" s="124"/>
      <c r="AG437" s="125"/>
      <c r="AH437" s="336"/>
      <c r="AI437" s="274"/>
      <c r="AJ437" s="274"/>
      <c r="AK437" s="274"/>
      <c r="AL437" s="274"/>
      <c r="AM437" s="124"/>
      <c r="AN437" s="124"/>
      <c r="AO437" s="124"/>
      <c r="AP437" s="124"/>
      <c r="AQ437" s="125"/>
      <c r="AR437" s="336"/>
      <c r="AS437" s="274"/>
      <c r="AT437" s="274"/>
      <c r="AU437" s="274"/>
      <c r="AV437" s="274"/>
      <c r="AW437" s="124"/>
      <c r="AX437" s="124"/>
      <c r="AY437" s="124"/>
      <c r="AZ437" s="124"/>
      <c r="BA437" s="125"/>
      <c r="BB437" s="336"/>
      <c r="BC437" s="274"/>
      <c r="BD437" s="274"/>
      <c r="BE437" s="274"/>
      <c r="BF437" s="274"/>
      <c r="BG437" s="124"/>
      <c r="BH437" s="124"/>
      <c r="BI437" s="124"/>
      <c r="BJ437" s="124"/>
      <c r="BK437" s="125"/>
      <c r="BL437" s="1"/>
      <c r="BM437" s="1"/>
      <c r="BN437" s="1"/>
      <c r="BO437" s="1"/>
      <c r="BP437" s="1"/>
      <c r="BQ437" s="1"/>
      <c r="BR437" s="1"/>
      <c r="BS437" s="1"/>
    </row>
    <row r="438" spans="1:71" ht="7.5" customHeight="1" x14ac:dyDescent="0.25">
      <c r="A438" s="1"/>
      <c r="B438" s="448" t="s">
        <v>1350</v>
      </c>
      <c r="C438" s="449"/>
      <c r="D438" s="449"/>
      <c r="E438" s="449"/>
      <c r="F438" s="449"/>
      <c r="G438" s="449"/>
      <c r="H438" s="449"/>
      <c r="I438" s="449"/>
      <c r="J438" s="449"/>
      <c r="K438" s="449"/>
      <c r="L438" s="449"/>
      <c r="M438" s="449"/>
      <c r="N438" s="449"/>
      <c r="O438" s="449"/>
      <c r="P438" s="449"/>
      <c r="Q438" s="449"/>
      <c r="R438" s="449"/>
      <c r="S438" s="449"/>
      <c r="T438" s="449"/>
      <c r="U438" s="449"/>
      <c r="V438" s="449"/>
      <c r="W438" s="450"/>
      <c r="X438" s="332"/>
      <c r="Y438" s="275"/>
      <c r="Z438" s="275"/>
      <c r="AA438" s="275"/>
      <c r="AB438" s="275"/>
      <c r="AC438" s="118" t="s">
        <v>1349</v>
      </c>
      <c r="AD438" s="118"/>
      <c r="AE438" s="118"/>
      <c r="AF438" s="118"/>
      <c r="AG438" s="119"/>
      <c r="AH438" s="332"/>
      <c r="AI438" s="275"/>
      <c r="AJ438" s="275"/>
      <c r="AK438" s="275"/>
      <c r="AL438" s="275"/>
      <c r="AM438" s="118" t="s">
        <v>1349</v>
      </c>
      <c r="AN438" s="118"/>
      <c r="AO438" s="118"/>
      <c r="AP438" s="118"/>
      <c r="AQ438" s="119"/>
      <c r="AR438" s="332"/>
      <c r="AS438" s="275"/>
      <c r="AT438" s="275"/>
      <c r="AU438" s="275"/>
      <c r="AV438" s="275"/>
      <c r="AW438" s="118" t="s">
        <v>1349</v>
      </c>
      <c r="AX438" s="118"/>
      <c r="AY438" s="118"/>
      <c r="AZ438" s="118"/>
      <c r="BA438" s="119"/>
      <c r="BB438" s="332"/>
      <c r="BC438" s="275"/>
      <c r="BD438" s="275"/>
      <c r="BE438" s="275"/>
      <c r="BF438" s="275"/>
      <c r="BG438" s="118" t="s">
        <v>1349</v>
      </c>
      <c r="BH438" s="118"/>
      <c r="BI438" s="118"/>
      <c r="BJ438" s="118"/>
      <c r="BK438" s="119"/>
      <c r="BL438" s="1"/>
      <c r="BM438" s="1"/>
      <c r="BN438" s="1"/>
      <c r="BO438" s="1"/>
      <c r="BP438" s="1"/>
      <c r="BQ438" s="1"/>
      <c r="BR438" s="1"/>
      <c r="BS438" s="1"/>
    </row>
    <row r="439" spans="1:71" ht="7.5" customHeight="1" x14ac:dyDescent="0.25">
      <c r="A439" s="1"/>
      <c r="B439" s="451"/>
      <c r="C439" s="452"/>
      <c r="D439" s="452"/>
      <c r="E439" s="452"/>
      <c r="F439" s="452"/>
      <c r="G439" s="452"/>
      <c r="H439" s="452"/>
      <c r="I439" s="452"/>
      <c r="J439" s="452"/>
      <c r="K439" s="452"/>
      <c r="L439" s="452"/>
      <c r="M439" s="452"/>
      <c r="N439" s="452"/>
      <c r="O439" s="452"/>
      <c r="P439" s="452"/>
      <c r="Q439" s="452"/>
      <c r="R439" s="452"/>
      <c r="S439" s="452"/>
      <c r="T439" s="452"/>
      <c r="U439" s="452"/>
      <c r="V439" s="452"/>
      <c r="W439" s="453"/>
      <c r="X439" s="334"/>
      <c r="Y439" s="273"/>
      <c r="Z439" s="273"/>
      <c r="AA439" s="273"/>
      <c r="AB439" s="273"/>
      <c r="AC439" s="121"/>
      <c r="AD439" s="121"/>
      <c r="AE439" s="121"/>
      <c r="AF439" s="121"/>
      <c r="AG439" s="122"/>
      <c r="AH439" s="334"/>
      <c r="AI439" s="273"/>
      <c r="AJ439" s="273"/>
      <c r="AK439" s="273"/>
      <c r="AL439" s="273"/>
      <c r="AM439" s="121"/>
      <c r="AN439" s="121"/>
      <c r="AO439" s="121"/>
      <c r="AP439" s="121"/>
      <c r="AQ439" s="122"/>
      <c r="AR439" s="334"/>
      <c r="AS439" s="273"/>
      <c r="AT439" s="273"/>
      <c r="AU439" s="273"/>
      <c r="AV439" s="273"/>
      <c r="AW439" s="121"/>
      <c r="AX439" s="121"/>
      <c r="AY439" s="121"/>
      <c r="AZ439" s="121"/>
      <c r="BA439" s="122"/>
      <c r="BB439" s="334"/>
      <c r="BC439" s="273"/>
      <c r="BD439" s="273"/>
      <c r="BE439" s="273"/>
      <c r="BF439" s="273"/>
      <c r="BG439" s="121"/>
      <c r="BH439" s="121"/>
      <c r="BI439" s="121"/>
      <c r="BJ439" s="121"/>
      <c r="BK439" s="122"/>
      <c r="BL439" s="1"/>
      <c r="BM439" s="1"/>
      <c r="BN439" s="1"/>
      <c r="BO439" s="1"/>
      <c r="BP439" s="1"/>
      <c r="BQ439" s="1"/>
      <c r="BR439" s="1"/>
      <c r="BS439" s="1"/>
    </row>
    <row r="440" spans="1:71" ht="7.5" customHeight="1" x14ac:dyDescent="0.25">
      <c r="A440" s="1"/>
      <c r="B440" s="451"/>
      <c r="C440" s="452"/>
      <c r="D440" s="452"/>
      <c r="E440" s="452"/>
      <c r="F440" s="452"/>
      <c r="G440" s="452"/>
      <c r="H440" s="452"/>
      <c r="I440" s="452"/>
      <c r="J440" s="452"/>
      <c r="K440" s="452"/>
      <c r="L440" s="452"/>
      <c r="M440" s="452"/>
      <c r="N440" s="452"/>
      <c r="O440" s="452"/>
      <c r="P440" s="452"/>
      <c r="Q440" s="452"/>
      <c r="R440" s="452"/>
      <c r="S440" s="452"/>
      <c r="T440" s="452"/>
      <c r="U440" s="452"/>
      <c r="V440" s="452"/>
      <c r="W440" s="453"/>
      <c r="X440" s="334"/>
      <c r="Y440" s="273"/>
      <c r="Z440" s="273"/>
      <c r="AA440" s="273"/>
      <c r="AB440" s="273"/>
      <c r="AC440" s="121"/>
      <c r="AD440" s="121"/>
      <c r="AE440" s="121"/>
      <c r="AF440" s="121"/>
      <c r="AG440" s="122"/>
      <c r="AH440" s="334"/>
      <c r="AI440" s="273"/>
      <c r="AJ440" s="273"/>
      <c r="AK440" s="273"/>
      <c r="AL440" s="273"/>
      <c r="AM440" s="121"/>
      <c r="AN440" s="121"/>
      <c r="AO440" s="121"/>
      <c r="AP440" s="121"/>
      <c r="AQ440" s="122"/>
      <c r="AR440" s="334"/>
      <c r="AS440" s="273"/>
      <c r="AT440" s="273"/>
      <c r="AU440" s="273"/>
      <c r="AV440" s="273"/>
      <c r="AW440" s="121"/>
      <c r="AX440" s="121"/>
      <c r="AY440" s="121"/>
      <c r="AZ440" s="121"/>
      <c r="BA440" s="122"/>
      <c r="BB440" s="334"/>
      <c r="BC440" s="273"/>
      <c r="BD440" s="273"/>
      <c r="BE440" s="273"/>
      <c r="BF440" s="273"/>
      <c r="BG440" s="121"/>
      <c r="BH440" s="121"/>
      <c r="BI440" s="121"/>
      <c r="BJ440" s="121"/>
      <c r="BK440" s="122"/>
      <c r="BL440" s="1"/>
      <c r="BM440" s="1"/>
      <c r="BN440" s="1"/>
      <c r="BO440" s="1"/>
      <c r="BP440" s="1"/>
      <c r="BQ440" s="1"/>
      <c r="BR440" s="1"/>
      <c r="BS440" s="1"/>
    </row>
    <row r="441" spans="1:71" ht="7.5" customHeight="1" x14ac:dyDescent="0.25">
      <c r="A441" s="1"/>
      <c r="B441" s="451"/>
      <c r="C441" s="452"/>
      <c r="D441" s="452"/>
      <c r="E441" s="452"/>
      <c r="F441" s="452"/>
      <c r="G441" s="452"/>
      <c r="H441" s="452"/>
      <c r="I441" s="452"/>
      <c r="J441" s="452"/>
      <c r="K441" s="452"/>
      <c r="L441" s="452"/>
      <c r="M441" s="452"/>
      <c r="N441" s="452"/>
      <c r="O441" s="452"/>
      <c r="P441" s="452"/>
      <c r="Q441" s="452"/>
      <c r="R441" s="452"/>
      <c r="S441" s="452"/>
      <c r="T441" s="452"/>
      <c r="U441" s="452"/>
      <c r="V441" s="452"/>
      <c r="W441" s="453"/>
      <c r="X441" s="334"/>
      <c r="Y441" s="273"/>
      <c r="Z441" s="273"/>
      <c r="AA441" s="273"/>
      <c r="AB441" s="273"/>
      <c r="AC441" s="121"/>
      <c r="AD441" s="121"/>
      <c r="AE441" s="121"/>
      <c r="AF441" s="121"/>
      <c r="AG441" s="122"/>
      <c r="AH441" s="334"/>
      <c r="AI441" s="273"/>
      <c r="AJ441" s="273"/>
      <c r="AK441" s="273"/>
      <c r="AL441" s="273"/>
      <c r="AM441" s="121"/>
      <c r="AN441" s="121"/>
      <c r="AO441" s="121"/>
      <c r="AP441" s="121"/>
      <c r="AQ441" s="122"/>
      <c r="AR441" s="334"/>
      <c r="AS441" s="273"/>
      <c r="AT441" s="273"/>
      <c r="AU441" s="273"/>
      <c r="AV441" s="273"/>
      <c r="AW441" s="121"/>
      <c r="AX441" s="121"/>
      <c r="AY441" s="121"/>
      <c r="AZ441" s="121"/>
      <c r="BA441" s="122"/>
      <c r="BB441" s="334"/>
      <c r="BC441" s="273"/>
      <c r="BD441" s="273"/>
      <c r="BE441" s="273"/>
      <c r="BF441" s="273"/>
      <c r="BG441" s="121"/>
      <c r="BH441" s="121"/>
      <c r="BI441" s="121"/>
      <c r="BJ441" s="121"/>
      <c r="BK441" s="122"/>
      <c r="BL441" s="1"/>
      <c r="BM441" s="1"/>
      <c r="BN441" s="1"/>
      <c r="BO441" s="1"/>
      <c r="BP441" s="1"/>
      <c r="BQ441" s="1"/>
      <c r="BR441" s="1"/>
      <c r="BS441" s="1"/>
    </row>
    <row r="442" spans="1:71" ht="7.5" customHeight="1" x14ac:dyDescent="0.25">
      <c r="A442" s="1"/>
      <c r="B442" s="454"/>
      <c r="C442" s="455"/>
      <c r="D442" s="455"/>
      <c r="E442" s="455"/>
      <c r="F442" s="455"/>
      <c r="G442" s="455"/>
      <c r="H442" s="455"/>
      <c r="I442" s="455"/>
      <c r="J442" s="455"/>
      <c r="K442" s="455"/>
      <c r="L442" s="455"/>
      <c r="M442" s="455"/>
      <c r="N442" s="455"/>
      <c r="O442" s="455"/>
      <c r="P442" s="455"/>
      <c r="Q442" s="455"/>
      <c r="R442" s="455"/>
      <c r="S442" s="455"/>
      <c r="T442" s="455"/>
      <c r="U442" s="455"/>
      <c r="V442" s="455"/>
      <c r="W442" s="456"/>
      <c r="X442" s="336"/>
      <c r="Y442" s="274"/>
      <c r="Z442" s="274"/>
      <c r="AA442" s="274"/>
      <c r="AB442" s="274"/>
      <c r="AC442" s="124"/>
      <c r="AD442" s="124"/>
      <c r="AE442" s="124"/>
      <c r="AF442" s="124"/>
      <c r="AG442" s="125"/>
      <c r="AH442" s="336"/>
      <c r="AI442" s="274"/>
      <c r="AJ442" s="274"/>
      <c r="AK442" s="274"/>
      <c r="AL442" s="274"/>
      <c r="AM442" s="124"/>
      <c r="AN442" s="124"/>
      <c r="AO442" s="124"/>
      <c r="AP442" s="124"/>
      <c r="AQ442" s="125"/>
      <c r="AR442" s="336"/>
      <c r="AS442" s="274"/>
      <c r="AT442" s="274"/>
      <c r="AU442" s="274"/>
      <c r="AV442" s="274"/>
      <c r="AW442" s="124"/>
      <c r="AX442" s="124"/>
      <c r="AY442" s="124"/>
      <c r="AZ442" s="124"/>
      <c r="BA442" s="125"/>
      <c r="BB442" s="336"/>
      <c r="BC442" s="274"/>
      <c r="BD442" s="274"/>
      <c r="BE442" s="274"/>
      <c r="BF442" s="274"/>
      <c r="BG442" s="124"/>
      <c r="BH442" s="124"/>
      <c r="BI442" s="124"/>
      <c r="BJ442" s="124"/>
      <c r="BK442" s="125"/>
      <c r="BL442" s="1"/>
      <c r="BM442" s="1"/>
      <c r="BN442" s="1"/>
      <c r="BO442" s="1"/>
      <c r="BP442" s="1"/>
      <c r="BQ442" s="1"/>
      <c r="BR442" s="1"/>
      <c r="BS442" s="1"/>
    </row>
    <row r="443" spans="1:71" ht="7.5" customHeight="1" x14ac:dyDescent="0.25">
      <c r="A443" s="1"/>
      <c r="B443" s="448" t="s">
        <v>1351</v>
      </c>
      <c r="C443" s="449"/>
      <c r="D443" s="449"/>
      <c r="E443" s="449"/>
      <c r="F443" s="449"/>
      <c r="G443" s="449"/>
      <c r="H443" s="449"/>
      <c r="I443" s="449"/>
      <c r="J443" s="449"/>
      <c r="K443" s="449"/>
      <c r="L443" s="449"/>
      <c r="M443" s="449"/>
      <c r="N443" s="449"/>
      <c r="O443" s="449"/>
      <c r="P443" s="449"/>
      <c r="Q443" s="449"/>
      <c r="R443" s="449"/>
      <c r="S443" s="449"/>
      <c r="T443" s="449"/>
      <c r="U443" s="449"/>
      <c r="V443" s="449"/>
      <c r="W443" s="450"/>
      <c r="X443" s="332"/>
      <c r="Y443" s="275"/>
      <c r="Z443" s="275"/>
      <c r="AA443" s="275"/>
      <c r="AB443" s="275"/>
      <c r="AC443" s="118" t="s">
        <v>1352</v>
      </c>
      <c r="AD443" s="118"/>
      <c r="AE443" s="118"/>
      <c r="AF443" s="118"/>
      <c r="AG443" s="119"/>
      <c r="AH443" s="332"/>
      <c r="AI443" s="275"/>
      <c r="AJ443" s="275"/>
      <c r="AK443" s="275"/>
      <c r="AL443" s="275"/>
      <c r="AM443" s="118" t="s">
        <v>1352</v>
      </c>
      <c r="AN443" s="118"/>
      <c r="AO443" s="118"/>
      <c r="AP443" s="118"/>
      <c r="AQ443" s="119"/>
      <c r="AR443" s="332"/>
      <c r="AS443" s="275"/>
      <c r="AT443" s="275"/>
      <c r="AU443" s="275"/>
      <c r="AV443" s="275"/>
      <c r="AW443" s="118" t="s">
        <v>1352</v>
      </c>
      <c r="AX443" s="118"/>
      <c r="AY443" s="118"/>
      <c r="AZ443" s="118"/>
      <c r="BA443" s="119"/>
      <c r="BB443" s="332"/>
      <c r="BC443" s="275"/>
      <c r="BD443" s="275"/>
      <c r="BE443" s="275"/>
      <c r="BF443" s="275"/>
      <c r="BG443" s="118" t="s">
        <v>1352</v>
      </c>
      <c r="BH443" s="118"/>
      <c r="BI443" s="118"/>
      <c r="BJ443" s="118"/>
      <c r="BK443" s="119"/>
      <c r="BL443" s="1"/>
      <c r="BM443" s="1"/>
      <c r="BN443" s="1"/>
      <c r="BO443" s="1"/>
      <c r="BP443" s="1"/>
      <c r="BQ443" s="1"/>
      <c r="BR443" s="1"/>
      <c r="BS443" s="1"/>
    </row>
    <row r="444" spans="1:71" ht="7.5" customHeight="1" x14ac:dyDescent="0.25">
      <c r="A444" s="1"/>
      <c r="B444" s="451"/>
      <c r="C444" s="452"/>
      <c r="D444" s="452"/>
      <c r="E444" s="452"/>
      <c r="F444" s="452"/>
      <c r="G444" s="452"/>
      <c r="H444" s="452"/>
      <c r="I444" s="452"/>
      <c r="J444" s="452"/>
      <c r="K444" s="452"/>
      <c r="L444" s="452"/>
      <c r="M444" s="452"/>
      <c r="N444" s="452"/>
      <c r="O444" s="452"/>
      <c r="P444" s="452"/>
      <c r="Q444" s="452"/>
      <c r="R444" s="452"/>
      <c r="S444" s="452"/>
      <c r="T444" s="452"/>
      <c r="U444" s="452"/>
      <c r="V444" s="452"/>
      <c r="W444" s="453"/>
      <c r="X444" s="334"/>
      <c r="Y444" s="273"/>
      <c r="Z444" s="273"/>
      <c r="AA444" s="273"/>
      <c r="AB444" s="273"/>
      <c r="AC444" s="121"/>
      <c r="AD444" s="121"/>
      <c r="AE444" s="121"/>
      <c r="AF444" s="121"/>
      <c r="AG444" s="122"/>
      <c r="AH444" s="334"/>
      <c r="AI444" s="273"/>
      <c r="AJ444" s="273"/>
      <c r="AK444" s="273"/>
      <c r="AL444" s="273"/>
      <c r="AM444" s="121"/>
      <c r="AN444" s="121"/>
      <c r="AO444" s="121"/>
      <c r="AP444" s="121"/>
      <c r="AQ444" s="122"/>
      <c r="AR444" s="334"/>
      <c r="AS444" s="273"/>
      <c r="AT444" s="273"/>
      <c r="AU444" s="273"/>
      <c r="AV444" s="273"/>
      <c r="AW444" s="121"/>
      <c r="AX444" s="121"/>
      <c r="AY444" s="121"/>
      <c r="AZ444" s="121"/>
      <c r="BA444" s="122"/>
      <c r="BB444" s="334"/>
      <c r="BC444" s="273"/>
      <c r="BD444" s="273"/>
      <c r="BE444" s="273"/>
      <c r="BF444" s="273"/>
      <c r="BG444" s="121"/>
      <c r="BH444" s="121"/>
      <c r="BI444" s="121"/>
      <c r="BJ444" s="121"/>
      <c r="BK444" s="122"/>
      <c r="BL444" s="1"/>
      <c r="BM444" s="1"/>
      <c r="BN444" s="1"/>
      <c r="BO444" s="1"/>
      <c r="BP444" s="1"/>
      <c r="BQ444" s="1"/>
      <c r="BR444" s="1"/>
      <c r="BS444" s="1"/>
    </row>
    <row r="445" spans="1:71" ht="7.5" customHeight="1" x14ac:dyDescent="0.25">
      <c r="A445" s="1"/>
      <c r="B445" s="451"/>
      <c r="C445" s="452"/>
      <c r="D445" s="452"/>
      <c r="E445" s="452"/>
      <c r="F445" s="452"/>
      <c r="G445" s="452"/>
      <c r="H445" s="452"/>
      <c r="I445" s="452"/>
      <c r="J445" s="452"/>
      <c r="K445" s="452"/>
      <c r="L445" s="452"/>
      <c r="M445" s="452"/>
      <c r="N445" s="452"/>
      <c r="O445" s="452"/>
      <c r="P445" s="452"/>
      <c r="Q445" s="452"/>
      <c r="R445" s="452"/>
      <c r="S445" s="452"/>
      <c r="T445" s="452"/>
      <c r="U445" s="452"/>
      <c r="V445" s="452"/>
      <c r="W445" s="453"/>
      <c r="X445" s="334"/>
      <c r="Y445" s="273"/>
      <c r="Z445" s="273"/>
      <c r="AA445" s="273"/>
      <c r="AB445" s="273"/>
      <c r="AC445" s="121"/>
      <c r="AD445" s="121"/>
      <c r="AE445" s="121"/>
      <c r="AF445" s="121"/>
      <c r="AG445" s="122"/>
      <c r="AH445" s="334"/>
      <c r="AI445" s="273"/>
      <c r="AJ445" s="273"/>
      <c r="AK445" s="273"/>
      <c r="AL445" s="273"/>
      <c r="AM445" s="121"/>
      <c r="AN445" s="121"/>
      <c r="AO445" s="121"/>
      <c r="AP445" s="121"/>
      <c r="AQ445" s="122"/>
      <c r="AR445" s="334"/>
      <c r="AS445" s="273"/>
      <c r="AT445" s="273"/>
      <c r="AU445" s="273"/>
      <c r="AV445" s="273"/>
      <c r="AW445" s="121"/>
      <c r="AX445" s="121"/>
      <c r="AY445" s="121"/>
      <c r="AZ445" s="121"/>
      <c r="BA445" s="122"/>
      <c r="BB445" s="334"/>
      <c r="BC445" s="273"/>
      <c r="BD445" s="273"/>
      <c r="BE445" s="273"/>
      <c r="BF445" s="273"/>
      <c r="BG445" s="121"/>
      <c r="BH445" s="121"/>
      <c r="BI445" s="121"/>
      <c r="BJ445" s="121"/>
      <c r="BK445" s="122"/>
      <c r="BL445" s="1"/>
      <c r="BM445" s="1"/>
      <c r="BN445" s="1"/>
      <c r="BO445" s="1"/>
      <c r="BP445" s="1"/>
      <c r="BQ445" s="1"/>
      <c r="BR445" s="1"/>
      <c r="BS445" s="1"/>
    </row>
    <row r="446" spans="1:71" ht="7.5" customHeight="1" x14ac:dyDescent="0.25">
      <c r="A446" s="1"/>
      <c r="B446" s="451"/>
      <c r="C446" s="452"/>
      <c r="D446" s="452"/>
      <c r="E446" s="452"/>
      <c r="F446" s="452"/>
      <c r="G446" s="452"/>
      <c r="H446" s="452"/>
      <c r="I446" s="452"/>
      <c r="J446" s="452"/>
      <c r="K446" s="452"/>
      <c r="L446" s="452"/>
      <c r="M446" s="452"/>
      <c r="N446" s="452"/>
      <c r="O446" s="452"/>
      <c r="P446" s="452"/>
      <c r="Q446" s="452"/>
      <c r="R446" s="452"/>
      <c r="S446" s="452"/>
      <c r="T446" s="452"/>
      <c r="U446" s="452"/>
      <c r="V446" s="452"/>
      <c r="W446" s="453"/>
      <c r="X446" s="334"/>
      <c r="Y446" s="273"/>
      <c r="Z446" s="273"/>
      <c r="AA446" s="273"/>
      <c r="AB446" s="273"/>
      <c r="AC446" s="121"/>
      <c r="AD446" s="121"/>
      <c r="AE446" s="121"/>
      <c r="AF446" s="121"/>
      <c r="AG446" s="122"/>
      <c r="AH446" s="334"/>
      <c r="AI446" s="273"/>
      <c r="AJ446" s="273"/>
      <c r="AK446" s="273"/>
      <c r="AL446" s="273"/>
      <c r="AM446" s="121"/>
      <c r="AN446" s="121"/>
      <c r="AO446" s="121"/>
      <c r="AP446" s="121"/>
      <c r="AQ446" s="122"/>
      <c r="AR446" s="334"/>
      <c r="AS446" s="273"/>
      <c r="AT446" s="273"/>
      <c r="AU446" s="273"/>
      <c r="AV446" s="273"/>
      <c r="AW446" s="121"/>
      <c r="AX446" s="121"/>
      <c r="AY446" s="121"/>
      <c r="AZ446" s="121"/>
      <c r="BA446" s="122"/>
      <c r="BB446" s="334"/>
      <c r="BC446" s="273"/>
      <c r="BD446" s="273"/>
      <c r="BE446" s="273"/>
      <c r="BF446" s="273"/>
      <c r="BG446" s="121"/>
      <c r="BH446" s="121"/>
      <c r="BI446" s="121"/>
      <c r="BJ446" s="121"/>
      <c r="BK446" s="122"/>
      <c r="BL446" s="1"/>
      <c r="BM446" s="1"/>
      <c r="BN446" s="1"/>
      <c r="BO446" s="1"/>
      <c r="BP446" s="1"/>
      <c r="BQ446" s="1"/>
      <c r="BR446" s="1"/>
      <c r="BS446" s="1"/>
    </row>
    <row r="447" spans="1:71" ht="7.5" customHeight="1" x14ac:dyDescent="0.25">
      <c r="A447" s="1"/>
      <c r="B447" s="454"/>
      <c r="C447" s="455"/>
      <c r="D447" s="455"/>
      <c r="E447" s="455"/>
      <c r="F447" s="455"/>
      <c r="G447" s="455"/>
      <c r="H447" s="455"/>
      <c r="I447" s="455"/>
      <c r="J447" s="455"/>
      <c r="K447" s="455"/>
      <c r="L447" s="455"/>
      <c r="M447" s="455"/>
      <c r="N447" s="455"/>
      <c r="O447" s="455"/>
      <c r="P447" s="455"/>
      <c r="Q447" s="455"/>
      <c r="R447" s="455"/>
      <c r="S447" s="455"/>
      <c r="T447" s="455"/>
      <c r="U447" s="455"/>
      <c r="V447" s="455"/>
      <c r="W447" s="456"/>
      <c r="X447" s="334"/>
      <c r="Y447" s="273"/>
      <c r="Z447" s="273"/>
      <c r="AA447" s="273"/>
      <c r="AB447" s="273"/>
      <c r="AC447" s="121"/>
      <c r="AD447" s="121"/>
      <c r="AE447" s="121"/>
      <c r="AF447" s="121"/>
      <c r="AG447" s="122"/>
      <c r="AH447" s="334"/>
      <c r="AI447" s="273"/>
      <c r="AJ447" s="273"/>
      <c r="AK447" s="273"/>
      <c r="AL447" s="273"/>
      <c r="AM447" s="121"/>
      <c r="AN447" s="121"/>
      <c r="AO447" s="121"/>
      <c r="AP447" s="121"/>
      <c r="AQ447" s="122"/>
      <c r="AR447" s="334"/>
      <c r="AS447" s="273"/>
      <c r="AT447" s="273"/>
      <c r="AU447" s="273"/>
      <c r="AV447" s="273"/>
      <c r="AW447" s="121"/>
      <c r="AX447" s="121"/>
      <c r="AY447" s="121"/>
      <c r="AZ447" s="121"/>
      <c r="BA447" s="122"/>
      <c r="BB447" s="334"/>
      <c r="BC447" s="273"/>
      <c r="BD447" s="273"/>
      <c r="BE447" s="273"/>
      <c r="BF447" s="273"/>
      <c r="BG447" s="124"/>
      <c r="BH447" s="124"/>
      <c r="BI447" s="124"/>
      <c r="BJ447" s="124"/>
      <c r="BK447" s="125"/>
      <c r="BL447" s="1"/>
      <c r="BM447" s="1"/>
      <c r="BN447" s="1"/>
      <c r="BO447" s="1"/>
      <c r="BP447" s="1"/>
      <c r="BQ447" s="1"/>
      <c r="BR447" s="1"/>
      <c r="BS447" s="1"/>
    </row>
    <row r="448" spans="1:71" ht="7.5" customHeight="1" x14ac:dyDescent="0.25">
      <c r="A448" s="1"/>
      <c r="B448" s="219" t="str">
        <f>CONCATENATE("LEVEL REQUIRED: N ≤ ",BM450," μg/AJS1")</f>
        <v>LEVEL REQUIRED: N ≤ 7 μg/AJS1</v>
      </c>
      <c r="C448" s="220"/>
      <c r="D448" s="220"/>
      <c r="E448" s="220"/>
      <c r="F448" s="220"/>
      <c r="G448" s="220"/>
      <c r="H448" s="220"/>
      <c r="I448" s="220"/>
      <c r="J448" s="220"/>
      <c r="K448" s="220"/>
      <c r="L448" s="220"/>
      <c r="M448" s="220"/>
      <c r="N448" s="220"/>
      <c r="O448" s="220"/>
      <c r="P448" s="220"/>
      <c r="Q448" s="220"/>
      <c r="R448" s="220"/>
      <c r="S448" s="220"/>
      <c r="T448" s="220"/>
      <c r="U448" s="220"/>
      <c r="V448" s="220"/>
      <c r="W448" s="221"/>
      <c r="X448" s="219" t="s">
        <v>1353</v>
      </c>
      <c r="Y448" s="220"/>
      <c r="Z448" s="220"/>
      <c r="AA448" s="220"/>
      <c r="AB448" s="220"/>
      <c r="AC448" s="220"/>
      <c r="AD448" s="220"/>
      <c r="AE448" s="220"/>
      <c r="AF448" s="220"/>
      <c r="AG448" s="220"/>
      <c r="AH448" s="220"/>
      <c r="AI448" s="220"/>
      <c r="AJ448" s="220"/>
      <c r="AK448" s="220"/>
      <c r="AL448" s="220"/>
      <c r="AM448" s="220"/>
      <c r="AN448" s="220"/>
      <c r="AO448" s="220"/>
      <c r="AP448" s="60"/>
      <c r="AQ448" s="60"/>
      <c r="AR448" s="60"/>
      <c r="AS448" s="60"/>
      <c r="AT448" s="60"/>
      <c r="AU448" s="60"/>
      <c r="AV448" s="60"/>
      <c r="AW448" s="60"/>
      <c r="AX448" s="60"/>
      <c r="AY448" s="60"/>
      <c r="AZ448" s="60"/>
      <c r="BA448" s="60"/>
      <c r="BB448" s="60"/>
      <c r="BC448" s="60"/>
      <c r="BD448" s="60"/>
      <c r="BE448" s="60"/>
      <c r="BF448" s="60"/>
      <c r="BG448" s="60"/>
      <c r="BH448" s="60"/>
      <c r="BI448" s="60"/>
      <c r="BJ448" s="60"/>
      <c r="BK448" s="39"/>
      <c r="BL448" s="1"/>
      <c r="BM448" s="1"/>
      <c r="BN448" s="1"/>
      <c r="BO448" s="1"/>
      <c r="BP448" s="1"/>
      <c r="BQ448" s="1"/>
      <c r="BR448" s="1"/>
      <c r="BS448" s="1"/>
    </row>
    <row r="449" spans="1:71" ht="7.5" customHeight="1" x14ac:dyDescent="0.25">
      <c r="A449" s="1"/>
      <c r="B449" s="99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1"/>
      <c r="X449" s="99"/>
      <c r="Y449" s="100"/>
      <c r="Z449" s="100"/>
      <c r="AA449" s="100"/>
      <c r="AB449" s="100"/>
      <c r="AC449" s="100"/>
      <c r="AD449" s="100"/>
      <c r="AE449" s="100"/>
      <c r="AF449" s="100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"/>
      <c r="AQ449" s="1"/>
      <c r="AR449" s="157"/>
      <c r="AS449" s="119"/>
      <c r="AT449" s="100" t="s">
        <v>1293</v>
      </c>
      <c r="AU449" s="100"/>
      <c r="AV449" s="17"/>
      <c r="AW449" s="17"/>
      <c r="AX449" s="219"/>
      <c r="AY449" s="221"/>
      <c r="AZ449" s="100" t="s">
        <v>1294</v>
      </c>
      <c r="BA449" s="100"/>
      <c r="BB449" s="100"/>
      <c r="BC449" s="1"/>
      <c r="BD449" s="1"/>
      <c r="BE449" s="1"/>
      <c r="BF449" s="1"/>
      <c r="BG449" s="1"/>
      <c r="BH449" s="1"/>
      <c r="BI449" s="1"/>
      <c r="BJ449" s="1"/>
      <c r="BK449" s="5"/>
      <c r="BL449" s="1"/>
      <c r="BM449" s="1"/>
      <c r="BN449" s="1"/>
      <c r="BO449" s="1"/>
      <c r="BP449" s="1"/>
      <c r="BQ449" s="1"/>
      <c r="BR449" s="1"/>
      <c r="BS449" s="1"/>
    </row>
    <row r="450" spans="1:71" ht="7.5" customHeight="1" x14ac:dyDescent="0.25">
      <c r="A450" s="1"/>
      <c r="B450" s="99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1"/>
      <c r="X450" s="99"/>
      <c r="Y450" s="100"/>
      <c r="Z450" s="100"/>
      <c r="AA450" s="100"/>
      <c r="AB450" s="100"/>
      <c r="AC450" s="100"/>
      <c r="AD450" s="100"/>
      <c r="AE450" s="100"/>
      <c r="AF450" s="100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"/>
      <c r="AQ450" s="1"/>
      <c r="AR450" s="161"/>
      <c r="AS450" s="125"/>
      <c r="AT450" s="100"/>
      <c r="AU450" s="100"/>
      <c r="AV450" s="17"/>
      <c r="AW450" s="17"/>
      <c r="AX450" s="102"/>
      <c r="AY450" s="104"/>
      <c r="AZ450" s="100"/>
      <c r="BA450" s="100"/>
      <c r="BB450" s="100"/>
      <c r="BC450" s="1"/>
      <c r="BD450" s="1"/>
      <c r="BE450" s="1"/>
      <c r="BF450" s="1"/>
      <c r="BG450" s="1"/>
      <c r="BH450" s="1"/>
      <c r="BI450" s="1"/>
      <c r="BJ450" s="1"/>
      <c r="BK450" s="5"/>
      <c r="BL450" s="1"/>
      <c r="BM450" s="1" t="s">
        <v>1354</v>
      </c>
      <c r="BN450" s="1"/>
      <c r="BO450" s="1"/>
      <c r="BP450" s="1"/>
      <c r="BQ450" s="1"/>
      <c r="BR450" s="1"/>
      <c r="BS450" s="1"/>
    </row>
    <row r="451" spans="1:71" ht="7.5" customHeight="1" x14ac:dyDescent="0.25">
      <c r="A451" s="1"/>
      <c r="B451" s="99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1"/>
      <c r="X451" s="99"/>
      <c r="Y451" s="100"/>
      <c r="Z451" s="100"/>
      <c r="AA451" s="100"/>
      <c r="AB451" s="100"/>
      <c r="AC451" s="100"/>
      <c r="AD451" s="100"/>
      <c r="AE451" s="100"/>
      <c r="AF451" s="100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5"/>
      <c r="BL451" s="1"/>
      <c r="BM451" s="1" t="s">
        <v>1354</v>
      </c>
      <c r="BN451" s="1"/>
      <c r="BO451" s="1"/>
      <c r="BP451" s="1"/>
      <c r="BQ451" s="1"/>
      <c r="BR451" s="1"/>
      <c r="BS451" s="1"/>
    </row>
    <row r="452" spans="1:71" ht="7.5" customHeight="1" x14ac:dyDescent="0.25">
      <c r="A452" s="1"/>
      <c r="B452" s="99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1"/>
      <c r="X452" s="354" t="s">
        <v>1296</v>
      </c>
      <c r="Y452" s="355"/>
      <c r="Z452" s="355"/>
      <c r="AA452" s="355"/>
      <c r="AB452" s="355"/>
      <c r="AC452" s="273"/>
      <c r="AD452" s="273"/>
      <c r="AE452" s="273"/>
      <c r="AF452" s="273"/>
      <c r="AG452" s="273"/>
      <c r="AH452" s="273"/>
      <c r="AI452" s="273"/>
      <c r="AJ452" s="273"/>
      <c r="AK452" s="273"/>
      <c r="AL452" s="273"/>
      <c r="AM452" s="273"/>
      <c r="AN452" s="273"/>
      <c r="AO452" s="273"/>
      <c r="AP452" s="273"/>
      <c r="AQ452" s="273"/>
      <c r="AR452" s="273"/>
      <c r="AS452" s="273"/>
      <c r="AT452" s="273"/>
      <c r="AU452" s="273"/>
      <c r="AV452" s="273"/>
      <c r="AW452" s="273"/>
      <c r="AX452" s="273"/>
      <c r="AY452" s="273"/>
      <c r="AZ452" s="273"/>
      <c r="BA452" s="273"/>
      <c r="BB452" s="273"/>
      <c r="BC452" s="273"/>
      <c r="BD452" s="273"/>
      <c r="BE452" s="273"/>
      <c r="BF452" s="273"/>
      <c r="BG452" s="273"/>
      <c r="BH452" s="273"/>
      <c r="BI452" s="273"/>
      <c r="BJ452" s="273"/>
      <c r="BK452" s="335"/>
      <c r="BL452" s="1"/>
      <c r="BM452" s="1"/>
      <c r="BN452" s="1"/>
      <c r="BO452" s="1"/>
      <c r="BP452" s="1"/>
      <c r="BQ452" s="1"/>
      <c r="BR452" s="1"/>
      <c r="BS452" s="1"/>
    </row>
    <row r="453" spans="1:71" ht="7.5" customHeight="1" x14ac:dyDescent="0.25">
      <c r="A453" s="1"/>
      <c r="B453" s="99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1"/>
      <c r="X453" s="354"/>
      <c r="Y453" s="355"/>
      <c r="Z453" s="355"/>
      <c r="AA453" s="355"/>
      <c r="AB453" s="355"/>
      <c r="AC453" s="273"/>
      <c r="AD453" s="273"/>
      <c r="AE453" s="273"/>
      <c r="AF453" s="273"/>
      <c r="AG453" s="273"/>
      <c r="AH453" s="273"/>
      <c r="AI453" s="273"/>
      <c r="AJ453" s="273"/>
      <c r="AK453" s="273"/>
      <c r="AL453" s="273"/>
      <c r="AM453" s="273"/>
      <c r="AN453" s="273"/>
      <c r="AO453" s="273"/>
      <c r="AP453" s="273"/>
      <c r="AQ453" s="273"/>
      <c r="AR453" s="273"/>
      <c r="AS453" s="273"/>
      <c r="AT453" s="273"/>
      <c r="AU453" s="273"/>
      <c r="AV453" s="273"/>
      <c r="AW453" s="273"/>
      <c r="AX453" s="273"/>
      <c r="AY453" s="273"/>
      <c r="AZ453" s="273"/>
      <c r="BA453" s="273"/>
      <c r="BB453" s="273"/>
      <c r="BC453" s="273"/>
      <c r="BD453" s="273"/>
      <c r="BE453" s="273"/>
      <c r="BF453" s="273"/>
      <c r="BG453" s="273"/>
      <c r="BH453" s="273"/>
      <c r="BI453" s="273"/>
      <c r="BJ453" s="273"/>
      <c r="BK453" s="335"/>
      <c r="BL453" s="1"/>
      <c r="BM453" s="1"/>
      <c r="BN453" s="1"/>
      <c r="BO453" s="1"/>
      <c r="BP453" s="1"/>
      <c r="BQ453" s="1"/>
      <c r="BR453" s="1"/>
      <c r="BS453" s="1"/>
    </row>
    <row r="454" spans="1:71" ht="7.5" customHeight="1" x14ac:dyDescent="0.25">
      <c r="A454" s="1"/>
      <c r="B454" s="99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1"/>
      <c r="X454" s="354"/>
      <c r="Y454" s="355"/>
      <c r="Z454" s="355"/>
      <c r="AA454" s="355"/>
      <c r="AB454" s="355"/>
      <c r="AC454" s="273"/>
      <c r="AD454" s="273"/>
      <c r="AE454" s="273"/>
      <c r="AF454" s="273"/>
      <c r="AG454" s="273"/>
      <c r="AH454" s="273"/>
      <c r="AI454" s="273"/>
      <c r="AJ454" s="273"/>
      <c r="AK454" s="273"/>
      <c r="AL454" s="273"/>
      <c r="AM454" s="273"/>
      <c r="AN454" s="273"/>
      <c r="AO454" s="273"/>
      <c r="AP454" s="273"/>
      <c r="AQ454" s="273"/>
      <c r="AR454" s="273"/>
      <c r="AS454" s="273"/>
      <c r="AT454" s="273"/>
      <c r="AU454" s="273"/>
      <c r="AV454" s="273"/>
      <c r="AW454" s="273"/>
      <c r="AX454" s="273"/>
      <c r="AY454" s="273"/>
      <c r="AZ454" s="273"/>
      <c r="BA454" s="273"/>
      <c r="BB454" s="273"/>
      <c r="BC454" s="273"/>
      <c r="BD454" s="273"/>
      <c r="BE454" s="273"/>
      <c r="BF454" s="273"/>
      <c r="BG454" s="273"/>
      <c r="BH454" s="273"/>
      <c r="BI454" s="273"/>
      <c r="BJ454" s="273"/>
      <c r="BK454" s="335"/>
      <c r="BL454" s="1"/>
      <c r="BM454" s="1"/>
      <c r="BN454" s="1"/>
      <c r="BO454" s="1"/>
      <c r="BP454" s="1"/>
      <c r="BQ454" s="1"/>
      <c r="BR454" s="1"/>
      <c r="BS454" s="1"/>
    </row>
    <row r="455" spans="1:71" ht="7.5" customHeight="1" x14ac:dyDescent="0.25">
      <c r="A455" s="1"/>
      <c r="B455" s="99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1"/>
      <c r="X455" s="354" t="s">
        <v>1299</v>
      </c>
      <c r="Y455" s="355"/>
      <c r="Z455" s="355"/>
      <c r="AA455" s="355"/>
      <c r="AB455" s="355"/>
      <c r="AC455" s="273"/>
      <c r="AD455" s="273"/>
      <c r="AE455" s="273"/>
      <c r="AF455" s="273"/>
      <c r="AG455" s="273"/>
      <c r="AH455" s="273"/>
      <c r="AI455" s="273"/>
      <c r="AJ455" s="273"/>
      <c r="AK455" s="273"/>
      <c r="AL455" s="355" t="s">
        <v>1301</v>
      </c>
      <c r="AM455" s="355"/>
      <c r="AN455" s="355"/>
      <c r="AO455" s="355"/>
      <c r="AP455" s="355"/>
      <c r="AQ455" s="355"/>
      <c r="AR455" s="355"/>
      <c r="AS455" s="273"/>
      <c r="AT455" s="273"/>
      <c r="AU455" s="273"/>
      <c r="AV455" s="273"/>
      <c r="AW455" s="273"/>
      <c r="AX455" s="273"/>
      <c r="AY455" s="273"/>
      <c r="AZ455" s="273"/>
      <c r="BA455" s="273"/>
      <c r="BB455" s="273"/>
      <c r="BC455" s="273"/>
      <c r="BD455" s="273"/>
      <c r="BE455" s="273"/>
      <c r="BF455" s="273"/>
      <c r="BG455" s="273"/>
      <c r="BH455" s="273"/>
      <c r="BI455" s="273"/>
      <c r="BJ455" s="273"/>
      <c r="BK455" s="335"/>
      <c r="BL455" s="1"/>
      <c r="BM455" s="1"/>
      <c r="BN455" s="1"/>
      <c r="BO455" s="1"/>
      <c r="BP455" s="1"/>
      <c r="BQ455" s="1"/>
      <c r="BR455" s="1"/>
      <c r="BS455" s="1"/>
    </row>
    <row r="456" spans="1:71" ht="7.5" customHeight="1" x14ac:dyDescent="0.25">
      <c r="A456" s="1"/>
      <c r="B456" s="99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1"/>
      <c r="X456" s="354"/>
      <c r="Y456" s="355"/>
      <c r="Z456" s="355"/>
      <c r="AA456" s="355"/>
      <c r="AB456" s="355"/>
      <c r="AC456" s="273"/>
      <c r="AD456" s="273"/>
      <c r="AE456" s="273"/>
      <c r="AF456" s="273"/>
      <c r="AG456" s="273"/>
      <c r="AH456" s="273"/>
      <c r="AI456" s="273"/>
      <c r="AJ456" s="273"/>
      <c r="AK456" s="273"/>
      <c r="AL456" s="355"/>
      <c r="AM456" s="355"/>
      <c r="AN456" s="355"/>
      <c r="AO456" s="355"/>
      <c r="AP456" s="355"/>
      <c r="AQ456" s="355"/>
      <c r="AR456" s="355"/>
      <c r="AS456" s="273"/>
      <c r="AT456" s="273"/>
      <c r="AU456" s="273"/>
      <c r="AV456" s="273"/>
      <c r="AW456" s="273"/>
      <c r="AX456" s="273"/>
      <c r="AY456" s="273"/>
      <c r="AZ456" s="273"/>
      <c r="BA456" s="273"/>
      <c r="BB456" s="273"/>
      <c r="BC456" s="273"/>
      <c r="BD456" s="273"/>
      <c r="BE456" s="273"/>
      <c r="BF456" s="273"/>
      <c r="BG456" s="273"/>
      <c r="BH456" s="273"/>
      <c r="BI456" s="273"/>
      <c r="BJ456" s="273"/>
      <c r="BK456" s="335"/>
      <c r="BL456" s="1"/>
      <c r="BM456" s="1"/>
      <c r="BN456" s="1"/>
      <c r="BO456" s="1"/>
      <c r="BP456" s="1"/>
      <c r="BQ456" s="1"/>
      <c r="BR456" s="1"/>
      <c r="BS456" s="1"/>
    </row>
    <row r="457" spans="1:71" ht="7.5" customHeight="1" x14ac:dyDescent="0.25">
      <c r="A457" s="1"/>
      <c r="B457" s="102"/>
      <c r="C457" s="103"/>
      <c r="D457" s="103"/>
      <c r="E457" s="103"/>
      <c r="F457" s="103"/>
      <c r="G457" s="103"/>
      <c r="H457" s="103"/>
      <c r="I457" s="103"/>
      <c r="J457" s="103"/>
      <c r="K457" s="103"/>
      <c r="L457" s="103"/>
      <c r="M457" s="103"/>
      <c r="N457" s="103"/>
      <c r="O457" s="103"/>
      <c r="P457" s="103"/>
      <c r="Q457" s="103"/>
      <c r="R457" s="103"/>
      <c r="S457" s="103"/>
      <c r="T457" s="103"/>
      <c r="U457" s="103"/>
      <c r="V457" s="103"/>
      <c r="W457" s="104"/>
      <c r="X457" s="356"/>
      <c r="Y457" s="357"/>
      <c r="Z457" s="357"/>
      <c r="AA457" s="357"/>
      <c r="AB457" s="357"/>
      <c r="AC457" s="274"/>
      <c r="AD457" s="274"/>
      <c r="AE457" s="274"/>
      <c r="AF457" s="274"/>
      <c r="AG457" s="274"/>
      <c r="AH457" s="274"/>
      <c r="AI457" s="274"/>
      <c r="AJ457" s="274"/>
      <c r="AK457" s="274"/>
      <c r="AL457" s="357"/>
      <c r="AM457" s="357"/>
      <c r="AN457" s="357"/>
      <c r="AO457" s="357"/>
      <c r="AP457" s="357"/>
      <c r="AQ457" s="357"/>
      <c r="AR457" s="357"/>
      <c r="AS457" s="274"/>
      <c r="AT457" s="274"/>
      <c r="AU457" s="274"/>
      <c r="AV457" s="274"/>
      <c r="AW457" s="274"/>
      <c r="AX457" s="274"/>
      <c r="AY457" s="274"/>
      <c r="AZ457" s="274"/>
      <c r="BA457" s="274"/>
      <c r="BB457" s="274"/>
      <c r="BC457" s="274"/>
      <c r="BD457" s="274"/>
      <c r="BE457" s="274"/>
      <c r="BF457" s="274"/>
      <c r="BG457" s="274"/>
      <c r="BH457" s="274"/>
      <c r="BI457" s="274"/>
      <c r="BJ457" s="274"/>
      <c r="BK457" s="337"/>
      <c r="BL457" s="1"/>
      <c r="BM457" s="1"/>
      <c r="BN457" s="1"/>
      <c r="BO457" s="1"/>
      <c r="BP457" s="1"/>
      <c r="BQ457" s="1"/>
      <c r="BR457" s="1"/>
      <c r="BS457" s="1"/>
    </row>
    <row r="458" spans="1:71" ht="7.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</row>
    <row r="459" spans="1:71" ht="7.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</row>
    <row r="460" spans="1:71" ht="7.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</row>
    <row r="461" spans="1:71" ht="7.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</row>
    <row r="462" spans="1:71" ht="7.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21"/>
      <c r="BF462" s="121"/>
      <c r="BG462" s="121"/>
      <c r="BH462" s="121"/>
      <c r="BI462" s="121"/>
      <c r="BJ462" s="121"/>
      <c r="BK462" s="1"/>
      <c r="BL462" s="1"/>
      <c r="BM462" s="1"/>
      <c r="BN462" s="1"/>
      <c r="BO462" s="1"/>
      <c r="BP462" s="1"/>
      <c r="BQ462" s="1"/>
      <c r="BR462" s="1"/>
      <c r="BS462" s="1"/>
    </row>
    <row r="463" spans="1:71" ht="7.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</row>
    <row r="464" spans="1:71" ht="7.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</row>
    <row r="465" spans="1:71" ht="7.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</row>
    <row r="466" spans="1:71" ht="7.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</row>
    <row r="467" spans="1:71" ht="7.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</row>
    <row r="468" spans="1:71" ht="7.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</row>
    <row r="469" spans="1:71" ht="7.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</row>
    <row r="470" spans="1:71" ht="7.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</row>
    <row r="471" spans="1:71" ht="7.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</row>
    <row r="472" spans="1:71" ht="7.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</row>
    <row r="473" spans="1:71" ht="7.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</row>
    <row r="474" spans="1:71" ht="7.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</row>
    <row r="475" spans="1:71" ht="7.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</row>
    <row r="476" spans="1:71" ht="7.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</row>
    <row r="477" spans="1:71" ht="7.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</row>
    <row r="478" spans="1:71" ht="7.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</row>
    <row r="479" spans="1:71" ht="7.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</row>
    <row r="480" spans="1:71" ht="7.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</row>
    <row r="481" spans="1:71" ht="7.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</row>
    <row r="482" spans="1:71" ht="7.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</row>
    <row r="483" spans="1:71" ht="7.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</row>
    <row r="484" spans="1:71" ht="7.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</row>
    <row r="485" spans="1:71" ht="7.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</row>
    <row r="486" spans="1:71" ht="7.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</row>
    <row r="487" spans="1:71" ht="7.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</row>
    <row r="488" spans="1:71" ht="7.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</row>
    <row r="489" spans="1:71" ht="7.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</row>
    <row r="490" spans="1:71" ht="7.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</row>
    <row r="491" spans="1:71" ht="7.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</row>
    <row r="492" spans="1:71" ht="7.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</row>
    <row r="493" spans="1:71" ht="7.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</row>
    <row r="494" spans="1:71" ht="7.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</row>
    <row r="495" spans="1:71" ht="7.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</row>
    <row r="496" spans="1:71" ht="7.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</row>
    <row r="497" spans="1:71" ht="7.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</row>
    <row r="498" spans="1:71" ht="7.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</row>
    <row r="499" spans="1:71" customFormat="1" ht="7.5" customHeight="1" x14ac:dyDescent="0.25"/>
  </sheetData>
  <mergeCells count="341">
    <mergeCell ref="G314:AQ315"/>
    <mergeCell ref="AZ314:BG315"/>
    <mergeCell ref="B318:W321"/>
    <mergeCell ref="AR322:AY323"/>
    <mergeCell ref="Q324:U325"/>
    <mergeCell ref="B285:BK286"/>
    <mergeCell ref="P288:S290"/>
    <mergeCell ref="W288:AB290"/>
    <mergeCell ref="AF288:AJ290"/>
    <mergeCell ref="AP309:BG310"/>
    <mergeCell ref="BH309:BH310"/>
    <mergeCell ref="BI309:BL310"/>
    <mergeCell ref="BC287:BK290"/>
    <mergeCell ref="AM287:BB290"/>
    <mergeCell ref="AU260:BK263"/>
    <mergeCell ref="CG55:CU61"/>
    <mergeCell ref="AZ107:BJ109"/>
    <mergeCell ref="K248:BK250"/>
    <mergeCell ref="B254:W257"/>
    <mergeCell ref="X254:AD257"/>
    <mergeCell ref="AF255:AG256"/>
    <mergeCell ref="AH255:AK256"/>
    <mergeCell ref="AN255:AO256"/>
    <mergeCell ref="AP255:AR256"/>
    <mergeCell ref="B228:F230"/>
    <mergeCell ref="G228:M230"/>
    <mergeCell ref="N228:R230"/>
    <mergeCell ref="S228:AH230"/>
    <mergeCell ref="H98:W99"/>
    <mergeCell ref="X97:AS98"/>
    <mergeCell ref="AB140:AW144"/>
    <mergeCell ref="AI228:BK236"/>
    <mergeCell ref="B231:F233"/>
    <mergeCell ref="G231:M233"/>
    <mergeCell ref="N231:R233"/>
    <mergeCell ref="S231:AH233"/>
    <mergeCell ref="B234:F236"/>
    <mergeCell ref="G234:M236"/>
    <mergeCell ref="AC455:AK457"/>
    <mergeCell ref="AL455:AR457"/>
    <mergeCell ref="AS455:BK457"/>
    <mergeCell ref="BE462:BJ462"/>
    <mergeCell ref="AY97:BL100"/>
    <mergeCell ref="W95:AS95"/>
    <mergeCell ref="W96:AS96"/>
    <mergeCell ref="W100:AS100"/>
    <mergeCell ref="BG443:BK447"/>
    <mergeCell ref="B448:W457"/>
    <mergeCell ref="X448:AO451"/>
    <mergeCell ref="AR449:AS450"/>
    <mergeCell ref="AT449:AU450"/>
    <mergeCell ref="AX449:AY450"/>
    <mergeCell ref="AZ449:BB450"/>
    <mergeCell ref="X452:AB454"/>
    <mergeCell ref="AC452:BK454"/>
    <mergeCell ref="X455:AB457"/>
    <mergeCell ref="BB438:BF442"/>
    <mergeCell ref="BG438:BK442"/>
    <mergeCell ref="B443:W447"/>
    <mergeCell ref="X443:AB447"/>
    <mergeCell ref="AC443:AG447"/>
    <mergeCell ref="AH443:AL447"/>
    <mergeCell ref="AM443:AQ447"/>
    <mergeCell ref="AR443:AV447"/>
    <mergeCell ref="AW443:BA447"/>
    <mergeCell ref="BB443:BF447"/>
    <mergeCell ref="AW435:BA437"/>
    <mergeCell ref="BB435:BF437"/>
    <mergeCell ref="BG435:BK437"/>
    <mergeCell ref="B438:W442"/>
    <mergeCell ref="X438:AB442"/>
    <mergeCell ref="AC438:AG442"/>
    <mergeCell ref="AH438:AL442"/>
    <mergeCell ref="AM438:AQ442"/>
    <mergeCell ref="AR438:AV442"/>
    <mergeCell ref="AW438:BA442"/>
    <mergeCell ref="B435:W437"/>
    <mergeCell ref="X435:AB437"/>
    <mergeCell ref="AC435:AG437"/>
    <mergeCell ref="AH435:AL437"/>
    <mergeCell ref="AM435:AQ437"/>
    <mergeCell ref="AR435:AV437"/>
    <mergeCell ref="B429:W431"/>
    <mergeCell ref="X429:AG431"/>
    <mergeCell ref="AH429:AQ431"/>
    <mergeCell ref="AR429:BA431"/>
    <mergeCell ref="BB429:BK431"/>
    <mergeCell ref="B432:W434"/>
    <mergeCell ref="X432:AG434"/>
    <mergeCell ref="AH432:AQ434"/>
    <mergeCell ref="AR432:BA434"/>
    <mergeCell ref="BB432:BK434"/>
    <mergeCell ref="G419:AQ421"/>
    <mergeCell ref="AZ419:BG421"/>
    <mergeCell ref="B425:AD428"/>
    <mergeCell ref="AE425:AK428"/>
    <mergeCell ref="AM426:AN427"/>
    <mergeCell ref="AO426:AR427"/>
    <mergeCell ref="AU426:AV427"/>
    <mergeCell ref="AW426:AY427"/>
    <mergeCell ref="B386:AY395"/>
    <mergeCell ref="AZ386:BK395"/>
    <mergeCell ref="B396:AY405"/>
    <mergeCell ref="AZ396:BK405"/>
    <mergeCell ref="AP411:BG412"/>
    <mergeCell ref="BH411:BH412"/>
    <mergeCell ref="BI411:BL412"/>
    <mergeCell ref="B363:AY365"/>
    <mergeCell ref="AZ363:BK365"/>
    <mergeCell ref="B366:AY375"/>
    <mergeCell ref="AZ366:BK375"/>
    <mergeCell ref="B376:AY385"/>
    <mergeCell ref="AZ376:BK385"/>
    <mergeCell ref="AB345:AF347"/>
    <mergeCell ref="AG345:AO347"/>
    <mergeCell ref="AP345:AS347"/>
    <mergeCell ref="B346:L347"/>
    <mergeCell ref="B348:BK350"/>
    <mergeCell ref="B351:I353"/>
    <mergeCell ref="J351:BK362"/>
    <mergeCell ref="B341:L343"/>
    <mergeCell ref="M341:AA343"/>
    <mergeCell ref="AB341:AF343"/>
    <mergeCell ref="AG341:BK343"/>
    <mergeCell ref="B344:L345"/>
    <mergeCell ref="AT344:BK347"/>
    <mergeCell ref="O345:P346"/>
    <mergeCell ref="Q345:R346"/>
    <mergeCell ref="U345:V346"/>
    <mergeCell ref="W345:Y346"/>
    <mergeCell ref="I329:J330"/>
    <mergeCell ref="K329:M330"/>
    <mergeCell ref="Q330:T331"/>
    <mergeCell ref="U330:AQ333"/>
    <mergeCell ref="B337:W340"/>
    <mergeCell ref="X337:AD340"/>
    <mergeCell ref="AF338:AG339"/>
    <mergeCell ref="AH338:AK339"/>
    <mergeCell ref="AN338:AO339"/>
    <mergeCell ref="AP338:AR339"/>
    <mergeCell ref="AR324:BK334"/>
    <mergeCell ref="C325:M326"/>
    <mergeCell ref="C329:D330"/>
    <mergeCell ref="E329:F330"/>
    <mergeCell ref="V323:AQ329"/>
    <mergeCell ref="B277:AL278"/>
    <mergeCell ref="G279:Y280"/>
    <mergeCell ref="P282:S284"/>
    <mergeCell ref="W282:AB284"/>
    <mergeCell ref="AF282:AJ284"/>
    <mergeCell ref="AM277:AV278"/>
    <mergeCell ref="AM279:BK284"/>
    <mergeCell ref="AW277:BK278"/>
    <mergeCell ref="B273:W276"/>
    <mergeCell ref="X273:AD276"/>
    <mergeCell ref="AF274:AG275"/>
    <mergeCell ref="AH274:AK275"/>
    <mergeCell ref="AN274:AO275"/>
    <mergeCell ref="AP274:AR275"/>
    <mergeCell ref="B264:BK265"/>
    <mergeCell ref="H267:K269"/>
    <mergeCell ref="N267:R269"/>
    <mergeCell ref="T267:X269"/>
    <mergeCell ref="AB267:AE269"/>
    <mergeCell ref="AH267:AK269"/>
    <mergeCell ref="AN267:AQ269"/>
    <mergeCell ref="AU266:BK269"/>
    <mergeCell ref="B237:BK239"/>
    <mergeCell ref="B242:W245"/>
    <mergeCell ref="X242:AD245"/>
    <mergeCell ref="AF243:AG244"/>
    <mergeCell ref="AH243:AK244"/>
    <mergeCell ref="AN243:AO244"/>
    <mergeCell ref="AP243:AR244"/>
    <mergeCell ref="B258:BK259"/>
    <mergeCell ref="H261:J263"/>
    <mergeCell ref="N261:P263"/>
    <mergeCell ref="T261:X263"/>
    <mergeCell ref="AB261:AD263"/>
    <mergeCell ref="AH261:AJ263"/>
    <mergeCell ref="AN261:AP263"/>
    <mergeCell ref="B246:BK247"/>
    <mergeCell ref="B248:J250"/>
    <mergeCell ref="N234:T236"/>
    <mergeCell ref="U234:AH236"/>
    <mergeCell ref="G209:AQ211"/>
    <mergeCell ref="AZ209:BG211"/>
    <mergeCell ref="B215:BK218"/>
    <mergeCell ref="B219:BK220"/>
    <mergeCell ref="G221:M227"/>
    <mergeCell ref="N221:AH222"/>
    <mergeCell ref="Q224:S226"/>
    <mergeCell ref="Y224:AA226"/>
    <mergeCell ref="B173:AE175"/>
    <mergeCell ref="AF173:AX175"/>
    <mergeCell ref="AY173:BK175"/>
    <mergeCell ref="B176:BK178"/>
    <mergeCell ref="AP205:BG206"/>
    <mergeCell ref="BH205:BH206"/>
    <mergeCell ref="BI205:BL206"/>
    <mergeCell ref="AI221:AN227"/>
    <mergeCell ref="AO221:BK227"/>
    <mergeCell ref="B167:AE169"/>
    <mergeCell ref="AF167:AX169"/>
    <mergeCell ref="AY167:BK169"/>
    <mergeCell ref="B170:AE172"/>
    <mergeCell ref="AF170:AX172"/>
    <mergeCell ref="AY170:BK172"/>
    <mergeCell ref="B161:AE163"/>
    <mergeCell ref="AF161:AX163"/>
    <mergeCell ref="AY161:BK163"/>
    <mergeCell ref="B164:AE166"/>
    <mergeCell ref="AF164:AX166"/>
    <mergeCell ref="AY164:BK166"/>
    <mergeCell ref="B150:BK152"/>
    <mergeCell ref="B153:AE157"/>
    <mergeCell ref="AF153:AX157"/>
    <mergeCell ref="AY153:BK157"/>
    <mergeCell ref="B158:AE160"/>
    <mergeCell ref="AF158:AX160"/>
    <mergeCell ref="AY158:BK160"/>
    <mergeCell ref="B140:W144"/>
    <mergeCell ref="X140:AA144"/>
    <mergeCell ref="AX140:BK144"/>
    <mergeCell ref="B145:W149"/>
    <mergeCell ref="X145:AA149"/>
    <mergeCell ref="AX145:BK149"/>
    <mergeCell ref="AB145:AW149"/>
    <mergeCell ref="B133:BK135"/>
    <mergeCell ref="B136:AA139"/>
    <mergeCell ref="AB136:AW137"/>
    <mergeCell ref="AX136:BK137"/>
    <mergeCell ref="AB138:AW139"/>
    <mergeCell ref="AX138:BK139"/>
    <mergeCell ref="B124:Q127"/>
    <mergeCell ref="R124:AS127"/>
    <mergeCell ref="AT124:BK127"/>
    <mergeCell ref="B128:M132"/>
    <mergeCell ref="N128:AE132"/>
    <mergeCell ref="AF128:AS129"/>
    <mergeCell ref="AT128:BK132"/>
    <mergeCell ref="AH130:AJ132"/>
    <mergeCell ref="AO130:AQ132"/>
    <mergeCell ref="B112:X115"/>
    <mergeCell ref="B116:O117"/>
    <mergeCell ref="AL116:BK117"/>
    <mergeCell ref="B118:AK121"/>
    <mergeCell ref="AL118:BK121"/>
    <mergeCell ref="B122:Q123"/>
    <mergeCell ref="R122:AS123"/>
    <mergeCell ref="AT122:BK123"/>
    <mergeCell ref="AP103:BG104"/>
    <mergeCell ref="BH103:BH104"/>
    <mergeCell ref="BI103:BL104"/>
    <mergeCell ref="B105:BK105"/>
    <mergeCell ref="G107:AQ109"/>
    <mergeCell ref="A90:BL92"/>
    <mergeCell ref="A93:V94"/>
    <mergeCell ref="W93:AS94"/>
    <mergeCell ref="AT93:AZ94"/>
    <mergeCell ref="BA93:BL96"/>
    <mergeCell ref="A98:G99"/>
    <mergeCell ref="AT98:AX99"/>
    <mergeCell ref="A84:O88"/>
    <mergeCell ref="P84:X88"/>
    <mergeCell ref="Y84:AG88"/>
    <mergeCell ref="AR84:BL88"/>
    <mergeCell ref="AI85:AK86"/>
    <mergeCell ref="AN85:AP86"/>
    <mergeCell ref="A79:O83"/>
    <mergeCell ref="P79:X83"/>
    <mergeCell ref="Y79:AG83"/>
    <mergeCell ref="AR79:BL83"/>
    <mergeCell ref="AI80:AK81"/>
    <mergeCell ref="AN80:AP81"/>
    <mergeCell ref="A74:O78"/>
    <mergeCell ref="P74:X78"/>
    <mergeCell ref="Y74:AG78"/>
    <mergeCell ref="AR74:BL78"/>
    <mergeCell ref="AI75:AK76"/>
    <mergeCell ref="AN75:AP76"/>
    <mergeCell ref="A69:O73"/>
    <mergeCell ref="P69:X73"/>
    <mergeCell ref="Y69:AG73"/>
    <mergeCell ref="AR69:BL73"/>
    <mergeCell ref="AI70:AK71"/>
    <mergeCell ref="AN70:AP71"/>
    <mergeCell ref="A64:O68"/>
    <mergeCell ref="P64:X68"/>
    <mergeCell ref="Y64:AG68"/>
    <mergeCell ref="AR64:BL68"/>
    <mergeCell ref="AI65:AK66"/>
    <mergeCell ref="AN65:AP66"/>
    <mergeCell ref="A59:O63"/>
    <mergeCell ref="P59:X63"/>
    <mergeCell ref="Y59:AG63"/>
    <mergeCell ref="AR59:BL63"/>
    <mergeCell ref="AI60:AK61"/>
    <mergeCell ref="AN60:AP61"/>
    <mergeCell ref="A54:O58"/>
    <mergeCell ref="P54:X58"/>
    <mergeCell ref="Y54:AG58"/>
    <mergeCell ref="AR54:BL58"/>
    <mergeCell ref="AI55:AK56"/>
    <mergeCell ref="AN55:AP56"/>
    <mergeCell ref="A49:O53"/>
    <mergeCell ref="P49:X53"/>
    <mergeCell ref="Y49:AG53"/>
    <mergeCell ref="AR49:BL53"/>
    <mergeCell ref="AI50:AK51"/>
    <mergeCell ref="AN50:AP51"/>
    <mergeCell ref="A32:K34"/>
    <mergeCell ref="L32:BL39"/>
    <mergeCell ref="A41:O48"/>
    <mergeCell ref="P41:X48"/>
    <mergeCell ref="Y41:AG48"/>
    <mergeCell ref="AH41:AQ44"/>
    <mergeCell ref="AR41:BL48"/>
    <mergeCell ref="AH45:AL48"/>
    <mergeCell ref="AM45:AQ48"/>
    <mergeCell ref="A24:S27"/>
    <mergeCell ref="T24:BL27"/>
    <mergeCell ref="A28:S31"/>
    <mergeCell ref="T28:BL31"/>
    <mergeCell ref="A13:S15"/>
    <mergeCell ref="T13:AP15"/>
    <mergeCell ref="AQ13:BL15"/>
    <mergeCell ref="A16:S19"/>
    <mergeCell ref="T16:AG19"/>
    <mergeCell ref="AH16:AW19"/>
    <mergeCell ref="AX16:BL19"/>
    <mergeCell ref="O1:AH6"/>
    <mergeCell ref="AI1:AX6"/>
    <mergeCell ref="AY1:BL6"/>
    <mergeCell ref="A7:S10"/>
    <mergeCell ref="T7:BL10"/>
    <mergeCell ref="A11:S12"/>
    <mergeCell ref="T11:AP12"/>
    <mergeCell ref="AQ11:BL12"/>
    <mergeCell ref="A20:S23"/>
    <mergeCell ref="T20:BL23"/>
  </mergeCells>
  <pageMargins left="0.51181102362204722" right="0.51181102362204722" top="0.70866141732283472" bottom="0.70866141732283472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INP_TYPE</vt:lpstr>
      <vt:lpstr>INSPECTOR</vt:lpstr>
      <vt:lpstr>Reserve</vt:lpstr>
      <vt:lpstr>CP1_1</vt:lpstr>
      <vt:lpstr>CP1_1!Area_de_impressao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 Monteiro de Oliveira</dc:creator>
  <cp:lastModifiedBy>Alexsandro Monteiro de Oliveira</cp:lastModifiedBy>
  <cp:lastPrinted>2020-12-07T18:52:12Z</cp:lastPrinted>
  <dcterms:created xsi:type="dcterms:W3CDTF">2020-11-26T14:33:22Z</dcterms:created>
  <dcterms:modified xsi:type="dcterms:W3CDTF">2020-12-10T20:19:25Z</dcterms:modified>
</cp:coreProperties>
</file>